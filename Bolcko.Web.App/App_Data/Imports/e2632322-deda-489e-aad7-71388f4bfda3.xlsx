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الصورة</t>
        </is>
      </c>
      <c r="B1" t="inlineStr">
        <is>
          <t>اسم المنتج</t>
        </is>
      </c>
      <c r="C1" t="inlineStr">
        <is>
          <t>البراند</t>
        </is>
      </c>
      <c r="D1" t="inlineStr">
        <is>
          <t>بلد المنشأ</t>
        </is>
      </c>
      <c r="E1" t="inlineStr">
        <is>
          <t>الوصف</t>
        </is>
      </c>
      <c r="F1" t="inlineStr">
        <is>
          <t>التصنيف</t>
        </is>
      </c>
      <c r="G1" t="inlineStr">
        <is>
          <t>السعر</t>
        </is>
      </c>
      <c r="H1" t="inlineStr">
        <is>
          <t>الكمية</t>
        </is>
      </c>
      <c r="I1" t="inlineStr">
        <is>
          <t>التصنيف الأب</t>
        </is>
      </c>
    </row>
    <row r="2">
      <c r="A2">
        <f>IMAGE("https://files.manuscdn.com/user_upload_by_module/session_file/310519663766182518/wTusNsyVVgGclZqw.png")</f>
        <v/>
      </c>
      <c r="B2" t="inlineStr">
        <is>
          <t>product_page002_item02</t>
        </is>
      </c>
      <c r="C2" t="inlineStr">
        <is>
          <t>Blocko</t>
        </is>
      </c>
      <c r="D2" t="inlineStr">
        <is>
          <t>N/A</t>
        </is>
      </c>
      <c r="E2" t="inlineStr"/>
      <c r="F2" t="inlineStr">
        <is>
          <t>متنوع</t>
        </is>
      </c>
      <c r="G2" t="inlineStr"/>
      <c r="H2" t="inlineStr">
        <is>
          <t>1,000.00</t>
        </is>
      </c>
      <c r="I2" t="inlineStr">
        <is>
          <t>أدوات صحية</t>
        </is>
      </c>
    </row>
    <row r="3">
      <c r="A3">
        <f>IMAGE("https://files.manuscdn.com/user_upload_by_module/session_file/310519663766182518/CPbInGLyeazhWHyS.png")</f>
        <v/>
      </c>
      <c r="B3" t="inlineStr">
        <is>
          <t>product_page002_item03</t>
        </is>
      </c>
      <c r="C3" t="inlineStr">
        <is>
          <t>Blocko</t>
        </is>
      </c>
      <c r="D3" t="inlineStr">
        <is>
          <t>N/A</t>
        </is>
      </c>
      <c r="E3" t="inlineStr"/>
      <c r="F3" t="inlineStr">
        <is>
          <t>متنوع</t>
        </is>
      </c>
      <c r="G3" t="inlineStr"/>
      <c r="H3" t="inlineStr">
        <is>
          <t>1,000.00</t>
        </is>
      </c>
      <c r="I3" t="inlineStr">
        <is>
          <t>أدوات صحية</t>
        </is>
      </c>
    </row>
    <row r="4">
      <c r="A4">
        <f>IMAGE("https://files.manuscdn.com/user_upload_by_module/session_file/310519663766182518/JjxkkZoKKpfZoKcf.png")</f>
        <v/>
      </c>
      <c r="B4" t="inlineStr">
        <is>
          <t>product_page002_item04</t>
        </is>
      </c>
      <c r="C4" t="inlineStr">
        <is>
          <t>Blocko</t>
        </is>
      </c>
      <c r="D4" t="inlineStr">
        <is>
          <t>N/A</t>
        </is>
      </c>
      <c r="E4" t="inlineStr"/>
      <c r="F4" t="inlineStr">
        <is>
          <t>متنوع</t>
        </is>
      </c>
      <c r="G4" t="inlineStr"/>
      <c r="H4" t="inlineStr">
        <is>
          <t>1,000.00</t>
        </is>
      </c>
      <c r="I4" t="inlineStr">
        <is>
          <t>أدوات صحية</t>
        </is>
      </c>
    </row>
    <row r="5">
      <c r="A5">
        <f>IMAGE("https://files.manuscdn.com/user_upload_by_module/session_file/310519663766182518/IBOuMYsucKEhNZBA.png")</f>
        <v/>
      </c>
      <c r="B5" t="inlineStr">
        <is>
          <t>product_page002_item05</t>
        </is>
      </c>
      <c r="C5" t="inlineStr">
        <is>
          <t>Blocko</t>
        </is>
      </c>
      <c r="D5" t="inlineStr">
        <is>
          <t>N/A</t>
        </is>
      </c>
      <c r="E5" t="inlineStr"/>
      <c r="F5" t="inlineStr">
        <is>
          <t>متنوع</t>
        </is>
      </c>
      <c r="G5" t="inlineStr"/>
      <c r="H5" t="inlineStr">
        <is>
          <t>1,000.00</t>
        </is>
      </c>
      <c r="I5" t="inlineStr">
        <is>
          <t>أدوات صحية</t>
        </is>
      </c>
    </row>
    <row r="6">
      <c r="A6">
        <f>IMAGE("https://files.manuscdn.com/user_upload_by_module/session_file/310519663766182518/mMZKlWnNEYnBjUbi.png")</f>
        <v/>
      </c>
      <c r="B6" t="inlineStr">
        <is>
          <t>product_page003_item00</t>
        </is>
      </c>
      <c r="C6" t="inlineStr">
        <is>
          <t>Blocko</t>
        </is>
      </c>
      <c r="D6" t="inlineStr">
        <is>
          <t>N/A</t>
        </is>
      </c>
      <c r="E6" t="inlineStr"/>
      <c r="F6" t="inlineStr">
        <is>
          <t>متنوع</t>
        </is>
      </c>
      <c r="G6" t="inlineStr"/>
      <c r="H6" t="inlineStr">
        <is>
          <t>1,000.00</t>
        </is>
      </c>
      <c r="I6" t="inlineStr">
        <is>
          <t>أدوات صحية</t>
        </is>
      </c>
    </row>
    <row r="7">
      <c r="A7">
        <f>IMAGE("https://files.manuscdn.com/user_upload_by_module/session_file/310519663766182518/YPUzPEQiioqPaaIr.png")</f>
        <v/>
      </c>
      <c r="B7" t="inlineStr">
        <is>
          <t>product_page003_item01</t>
        </is>
      </c>
      <c r="C7" t="inlineStr">
        <is>
          <t>Blocko</t>
        </is>
      </c>
      <c r="D7" t="inlineStr">
        <is>
          <t>N/A</t>
        </is>
      </c>
      <c r="E7" t="inlineStr"/>
      <c r="F7" t="inlineStr">
        <is>
          <t>متنوع</t>
        </is>
      </c>
      <c r="G7" t="inlineStr"/>
      <c r="H7" t="inlineStr">
        <is>
          <t>1,000.00</t>
        </is>
      </c>
      <c r="I7" t="inlineStr">
        <is>
          <t>أدوات صحية</t>
        </is>
      </c>
    </row>
    <row r="8">
      <c r="A8">
        <f>IMAGE("https://files.manuscdn.com/user_upload_by_module/session_file/310519663766182518/CcrPZXrCZhVYRjvJ.png")</f>
        <v/>
      </c>
      <c r="B8" t="inlineStr">
        <is>
          <t>product_page003_item02</t>
        </is>
      </c>
      <c r="C8" t="inlineStr">
        <is>
          <t>Blocko</t>
        </is>
      </c>
      <c r="D8" t="inlineStr">
        <is>
          <t>N/A</t>
        </is>
      </c>
      <c r="E8" t="inlineStr"/>
      <c r="F8" t="inlineStr">
        <is>
          <t>متنوع</t>
        </is>
      </c>
      <c r="G8" t="inlineStr"/>
      <c r="H8" t="inlineStr">
        <is>
          <t>1,000.00</t>
        </is>
      </c>
      <c r="I8" t="inlineStr">
        <is>
          <t>أدوات صحية</t>
        </is>
      </c>
    </row>
    <row r="9">
      <c r="A9">
        <f>IMAGE("https://files.manuscdn.com/user_upload_by_module/session_file/310519663766182518/yvMcyZyhuBcqMMqL.png")</f>
        <v/>
      </c>
      <c r="B9" t="inlineStr">
        <is>
          <t>product_page003_item03</t>
        </is>
      </c>
      <c r="C9" t="inlineStr">
        <is>
          <t>Blocko</t>
        </is>
      </c>
      <c r="D9" t="inlineStr">
        <is>
          <t>N/A</t>
        </is>
      </c>
      <c r="E9" t="inlineStr"/>
      <c r="F9" t="inlineStr">
        <is>
          <t>متنوع</t>
        </is>
      </c>
      <c r="G9" t="inlineStr"/>
      <c r="H9" t="inlineStr">
        <is>
          <t>1,000.00</t>
        </is>
      </c>
      <c r="I9" t="inlineStr">
        <is>
          <t>أدوات صحية</t>
        </is>
      </c>
    </row>
    <row r="10">
      <c r="A10">
        <f>IMAGE("https://files.manuscdn.com/user_upload_by_module/session_file/310519663766182518/PqCFSKDKxMDvWqwB.png")</f>
        <v/>
      </c>
      <c r="B10" t="inlineStr">
        <is>
          <t>product_page005_item00</t>
        </is>
      </c>
      <c r="C10" t="inlineStr">
        <is>
          <t>Blocko</t>
        </is>
      </c>
      <c r="D10" t="inlineStr">
        <is>
          <t>N/A</t>
        </is>
      </c>
      <c r="E10" t="inlineStr"/>
      <c r="F10" t="inlineStr">
        <is>
          <t>متنوع</t>
        </is>
      </c>
      <c r="G10" t="inlineStr"/>
      <c r="H10" t="inlineStr">
        <is>
          <t>1,000.00</t>
        </is>
      </c>
      <c r="I10" t="inlineStr">
        <is>
          <t>أدوات صحية</t>
        </is>
      </c>
    </row>
    <row r="11">
      <c r="A11">
        <f>IMAGE("https://files.manuscdn.com/user_upload_by_module/session_file/310519663766182518/FfPkUKamaNkADNXU.png")</f>
        <v/>
      </c>
      <c r="B11" t="inlineStr">
        <is>
          <t>product_page005_item01</t>
        </is>
      </c>
      <c r="C11" t="inlineStr">
        <is>
          <t>Blocko</t>
        </is>
      </c>
      <c r="D11" t="inlineStr">
        <is>
          <t>N/A</t>
        </is>
      </c>
      <c r="E11" t="inlineStr"/>
      <c r="F11" t="inlineStr">
        <is>
          <t>متنوع</t>
        </is>
      </c>
      <c r="G11" t="inlineStr"/>
      <c r="H11" t="inlineStr">
        <is>
          <t>1,000.00</t>
        </is>
      </c>
      <c r="I11" t="inlineStr">
        <is>
          <t>أدوات صحية</t>
        </is>
      </c>
    </row>
    <row r="12">
      <c r="A12">
        <f>IMAGE("https://files.manuscdn.com/user_upload_by_module/session_file/310519663766182518/XobnoTpaTordvauV.png")</f>
        <v/>
      </c>
      <c r="B12" t="inlineStr">
        <is>
          <t>product_page005_item02</t>
        </is>
      </c>
      <c r="C12" t="inlineStr">
        <is>
          <t>Blocko</t>
        </is>
      </c>
      <c r="D12" t="inlineStr">
        <is>
          <t>N/A</t>
        </is>
      </c>
      <c r="E12" t="inlineStr"/>
      <c r="F12" t="inlineStr">
        <is>
          <t>متنوع</t>
        </is>
      </c>
      <c r="G12" t="inlineStr"/>
      <c r="H12" t="inlineStr">
        <is>
          <t>1,000.00</t>
        </is>
      </c>
      <c r="I12" t="inlineStr">
        <is>
          <t>أدوات صحية</t>
        </is>
      </c>
    </row>
    <row r="13">
      <c r="A13">
        <f>IMAGE("https://files.manuscdn.com/user_upload_by_module/session_file/310519663766182518/skXZFKcrPtgRjhUS.png")</f>
        <v/>
      </c>
      <c r="B13" t="inlineStr">
        <is>
          <t>product_page005_item03</t>
        </is>
      </c>
      <c r="C13" t="inlineStr">
        <is>
          <t>Blocko</t>
        </is>
      </c>
      <c r="D13" t="inlineStr">
        <is>
          <t>N/A</t>
        </is>
      </c>
      <c r="E13" t="inlineStr"/>
      <c r="F13" t="inlineStr">
        <is>
          <t>متنوع</t>
        </is>
      </c>
      <c r="G13" t="inlineStr"/>
      <c r="H13" t="inlineStr">
        <is>
          <t>1,000.00</t>
        </is>
      </c>
      <c r="I13" t="inlineStr">
        <is>
          <t>أدوات صحية</t>
        </is>
      </c>
    </row>
    <row r="14">
      <c r="A14">
        <f>IMAGE("https://files.manuscdn.com/user_upload_by_module/session_file/310519663766182518/ICIZdzYxNRZWERnA.png")</f>
        <v/>
      </c>
      <c r="B14" t="inlineStr">
        <is>
          <t>product_page006_item00</t>
        </is>
      </c>
      <c r="C14" t="inlineStr">
        <is>
          <t>Blocko</t>
        </is>
      </c>
      <c r="D14" t="inlineStr">
        <is>
          <t>N/A</t>
        </is>
      </c>
      <c r="E14" t="inlineStr"/>
      <c r="F14" t="inlineStr">
        <is>
          <t>متنوع</t>
        </is>
      </c>
      <c r="G14" t="inlineStr"/>
      <c r="H14" t="inlineStr">
        <is>
          <t>1,000.00</t>
        </is>
      </c>
      <c r="I14" t="inlineStr">
        <is>
          <t>أدوات صحية</t>
        </is>
      </c>
    </row>
    <row r="15">
      <c r="A15">
        <f>IMAGE("https://files.manuscdn.com/user_upload_by_module/session_file/310519663766182518/eeontwehPupjFQLl.png")</f>
        <v/>
      </c>
      <c r="B15" t="inlineStr">
        <is>
          <t>product_page006_item01</t>
        </is>
      </c>
      <c r="C15" t="inlineStr">
        <is>
          <t>Blocko</t>
        </is>
      </c>
      <c r="D15" t="inlineStr">
        <is>
          <t>N/A</t>
        </is>
      </c>
      <c r="E15" t="inlineStr"/>
      <c r="F15" t="inlineStr">
        <is>
          <t>متنوع</t>
        </is>
      </c>
      <c r="G15" t="inlineStr"/>
      <c r="H15" t="inlineStr">
        <is>
          <t>1,000.00</t>
        </is>
      </c>
      <c r="I15" t="inlineStr">
        <is>
          <t>أدوات صحية</t>
        </is>
      </c>
    </row>
    <row r="16">
      <c r="A16">
        <f>IMAGE("https://files.manuscdn.com/user_upload_by_module/session_file/310519663766182518/BaEHNKAFJHYYHZjY.png")</f>
        <v/>
      </c>
      <c r="B16" t="inlineStr">
        <is>
          <t>product_page006_item02</t>
        </is>
      </c>
      <c r="C16" t="inlineStr">
        <is>
          <t>Blocko</t>
        </is>
      </c>
      <c r="D16" t="inlineStr">
        <is>
          <t>N/A</t>
        </is>
      </c>
      <c r="E16" t="inlineStr"/>
      <c r="F16" t="inlineStr">
        <is>
          <t>متنوع</t>
        </is>
      </c>
      <c r="G16" t="inlineStr"/>
      <c r="H16" t="inlineStr">
        <is>
          <t>1,000.00</t>
        </is>
      </c>
      <c r="I16" t="inlineStr">
        <is>
          <t>أدوات صحية</t>
        </is>
      </c>
    </row>
    <row r="17">
      <c r="A17">
        <f>IMAGE("https://files.manuscdn.com/user_upload_by_module/session_file/310519663766182518/MWdOJlyWtDJFMfOK.png")</f>
        <v/>
      </c>
      <c r="B17" t="inlineStr">
        <is>
          <t>product_page006_item03</t>
        </is>
      </c>
      <c r="C17" t="inlineStr">
        <is>
          <t>Blocko</t>
        </is>
      </c>
      <c r="D17" t="inlineStr">
        <is>
          <t>N/A</t>
        </is>
      </c>
      <c r="E17" t="inlineStr"/>
      <c r="F17" t="inlineStr">
        <is>
          <t>متنوع</t>
        </is>
      </c>
      <c r="G17" t="inlineStr"/>
      <c r="H17" t="inlineStr">
        <is>
          <t>1,000.00</t>
        </is>
      </c>
      <c r="I17" t="inlineStr">
        <is>
          <t>أدوات صحية</t>
        </is>
      </c>
    </row>
    <row r="18">
      <c r="A18">
        <f>IMAGE("https://files.manuscdn.com/user_upload_by_module/session_file/310519663766182518/FEMKQYdPisPXBpYX.png")</f>
        <v/>
      </c>
      <c r="B18" t="inlineStr">
        <is>
          <t>product_page006_item04</t>
        </is>
      </c>
      <c r="C18" t="inlineStr">
        <is>
          <t>Blocko</t>
        </is>
      </c>
      <c r="D18" t="inlineStr">
        <is>
          <t>N/A</t>
        </is>
      </c>
      <c r="E18" t="inlineStr"/>
      <c r="F18" t="inlineStr">
        <is>
          <t>متنوع</t>
        </is>
      </c>
      <c r="G18" t="inlineStr"/>
      <c r="H18" t="inlineStr">
        <is>
          <t>1,000.00</t>
        </is>
      </c>
      <c r="I18" t="inlineStr">
        <is>
          <t>أدوات صحية</t>
        </is>
      </c>
    </row>
    <row r="19">
      <c r="A19">
        <f>IMAGE("https://files.manuscdn.com/user_upload_by_module/session_file/310519663766182518/DWUbaBcKMIkvhgLJ.png")</f>
        <v/>
      </c>
      <c r="B19" t="inlineStr">
        <is>
          <t>product_page006_item05</t>
        </is>
      </c>
      <c r="C19" t="inlineStr">
        <is>
          <t>Blocko</t>
        </is>
      </c>
      <c r="D19" t="inlineStr">
        <is>
          <t>N/A</t>
        </is>
      </c>
      <c r="E19" t="inlineStr"/>
      <c r="F19" t="inlineStr">
        <is>
          <t>متنوع</t>
        </is>
      </c>
      <c r="G19" t="inlineStr"/>
      <c r="H19" t="inlineStr">
        <is>
          <t>1,000.00</t>
        </is>
      </c>
      <c r="I19" t="inlineStr">
        <is>
          <t>أدوات صحية</t>
        </is>
      </c>
    </row>
    <row r="20">
      <c r="A20">
        <f>IMAGE("https://files.manuscdn.com/user_upload_by_module/session_file/310519663766182518/jptfYOZLIsEFGGmo.png")</f>
        <v/>
      </c>
      <c r="B20" t="inlineStr">
        <is>
          <t>product_page007_item00</t>
        </is>
      </c>
      <c r="C20" t="inlineStr">
        <is>
          <t>Blocko</t>
        </is>
      </c>
      <c r="D20" t="inlineStr">
        <is>
          <t>N/A</t>
        </is>
      </c>
      <c r="E20" t="inlineStr"/>
      <c r="F20" t="inlineStr">
        <is>
          <t>متنوع</t>
        </is>
      </c>
      <c r="G20" t="inlineStr"/>
      <c r="H20" t="inlineStr">
        <is>
          <t>1,000.00</t>
        </is>
      </c>
      <c r="I20" t="inlineStr">
        <is>
          <t>أدوات صحية</t>
        </is>
      </c>
    </row>
    <row r="21">
      <c r="A21">
        <f>IMAGE("https://files.manuscdn.com/user_upload_by_module/session_file/310519663766182518/ymFdAKkMdRQlsrbD.png")</f>
        <v/>
      </c>
      <c r="B21" t="inlineStr">
        <is>
          <t>product_page007_item01</t>
        </is>
      </c>
      <c r="C21" t="inlineStr">
        <is>
          <t>Blocko</t>
        </is>
      </c>
      <c r="D21" t="inlineStr">
        <is>
          <t>N/A</t>
        </is>
      </c>
      <c r="E21" t="inlineStr"/>
      <c r="F21" t="inlineStr">
        <is>
          <t>متنوع</t>
        </is>
      </c>
      <c r="G21" t="inlineStr"/>
      <c r="H21" t="inlineStr">
        <is>
          <t>1,000.00</t>
        </is>
      </c>
      <c r="I21" t="inlineStr">
        <is>
          <t>أدوات صحية</t>
        </is>
      </c>
    </row>
    <row r="22">
      <c r="A22">
        <f>IMAGE("https://files.manuscdn.com/user_upload_by_module/session_file/310519663766182518/eYjIKFlwiCPnrCZm.png")</f>
        <v/>
      </c>
      <c r="B22" t="inlineStr">
        <is>
          <t>product_page007_item02</t>
        </is>
      </c>
      <c r="C22" t="inlineStr">
        <is>
          <t>Blocko</t>
        </is>
      </c>
      <c r="D22" t="inlineStr">
        <is>
          <t>N/A</t>
        </is>
      </c>
      <c r="E22" t="inlineStr"/>
      <c r="F22" t="inlineStr">
        <is>
          <t>متنوع</t>
        </is>
      </c>
      <c r="G22" t="inlineStr"/>
      <c r="H22" t="inlineStr">
        <is>
          <t>1,000.00</t>
        </is>
      </c>
      <c r="I22" t="inlineStr">
        <is>
          <t>أدوات صحية</t>
        </is>
      </c>
    </row>
    <row r="23">
      <c r="A23">
        <f>IMAGE("https://files.manuscdn.com/user_upload_by_module/session_file/310519663766182518/mVflNHChvCAckzPu.png")</f>
        <v/>
      </c>
      <c r="B23" t="inlineStr">
        <is>
          <t>product_page007_item03</t>
        </is>
      </c>
      <c r="C23" t="inlineStr">
        <is>
          <t>Blocko</t>
        </is>
      </c>
      <c r="D23" t="inlineStr">
        <is>
          <t>N/A</t>
        </is>
      </c>
      <c r="E23" t="inlineStr"/>
      <c r="F23" t="inlineStr">
        <is>
          <t>متنوع</t>
        </is>
      </c>
      <c r="G23" t="inlineStr"/>
      <c r="H23" t="inlineStr">
        <is>
          <t>1,000.00</t>
        </is>
      </c>
      <c r="I23" t="inlineStr">
        <is>
          <t>أدوات صحية</t>
        </is>
      </c>
    </row>
    <row r="24">
      <c r="A24">
        <f>IMAGE("https://files.manuscdn.com/user_upload_by_module/session_file/310519663766182518/FejzquMDhAEljzOm.png")</f>
        <v/>
      </c>
      <c r="B24" t="inlineStr">
        <is>
          <t>product_page007_item04</t>
        </is>
      </c>
      <c r="C24" t="inlineStr">
        <is>
          <t>Blocko</t>
        </is>
      </c>
      <c r="D24" t="inlineStr">
        <is>
          <t>N/A</t>
        </is>
      </c>
      <c r="E24" t="inlineStr"/>
      <c r="F24" t="inlineStr">
        <is>
          <t>متنوع</t>
        </is>
      </c>
      <c r="G24" t="inlineStr"/>
      <c r="H24" t="inlineStr">
        <is>
          <t>1,000.00</t>
        </is>
      </c>
      <c r="I24" t="inlineStr">
        <is>
          <t>أدوات صحية</t>
        </is>
      </c>
    </row>
    <row r="25">
      <c r="A25">
        <f>IMAGE("https://files.manuscdn.com/user_upload_by_module/session_file/310519663766182518/HejRUXfbwbTrLFfr.png")</f>
        <v/>
      </c>
      <c r="B25" t="inlineStr">
        <is>
          <t>product_page007_item05</t>
        </is>
      </c>
      <c r="C25" t="inlineStr">
        <is>
          <t>Blocko</t>
        </is>
      </c>
      <c r="D25" t="inlineStr">
        <is>
          <t>N/A</t>
        </is>
      </c>
      <c r="E25" t="inlineStr"/>
      <c r="F25" t="inlineStr">
        <is>
          <t>متنوع</t>
        </is>
      </c>
      <c r="G25" t="inlineStr"/>
      <c r="H25" t="inlineStr">
        <is>
          <t>1,000.00</t>
        </is>
      </c>
      <c r="I25" t="inlineStr">
        <is>
          <t>أدوات صحية</t>
        </is>
      </c>
    </row>
    <row r="26">
      <c r="A26">
        <f>IMAGE("https://files.manuscdn.com/user_upload_by_module/session_file/310519663766182518/pFDoOvWxtwOnLFHz.png")</f>
        <v/>
      </c>
      <c r="B26" t="inlineStr">
        <is>
          <t>product_page008_item00</t>
        </is>
      </c>
      <c r="C26" t="inlineStr">
        <is>
          <t>Blocko</t>
        </is>
      </c>
      <c r="D26" t="inlineStr">
        <is>
          <t>N/A</t>
        </is>
      </c>
      <c r="E26" t="inlineStr"/>
      <c r="F26" t="inlineStr">
        <is>
          <t>متنوع</t>
        </is>
      </c>
      <c r="G26" t="inlineStr"/>
      <c r="H26" t="inlineStr">
        <is>
          <t>1,000.00</t>
        </is>
      </c>
      <c r="I26" t="inlineStr">
        <is>
          <t>أدوات صحية</t>
        </is>
      </c>
    </row>
    <row r="27">
      <c r="A27">
        <f>IMAGE("https://files.manuscdn.com/user_upload_by_module/session_file/310519663766182518/tcQLRclmaAIBDwWa.png")</f>
        <v/>
      </c>
      <c r="B27" t="inlineStr">
        <is>
          <t>product_page008_item01</t>
        </is>
      </c>
      <c r="C27" t="inlineStr">
        <is>
          <t>Blocko</t>
        </is>
      </c>
      <c r="D27" t="inlineStr">
        <is>
          <t>N/A</t>
        </is>
      </c>
      <c r="E27" t="inlineStr"/>
      <c r="F27" t="inlineStr">
        <is>
          <t>متنوع</t>
        </is>
      </c>
      <c r="G27" t="inlineStr"/>
      <c r="H27" t="inlineStr">
        <is>
          <t>1,000.00</t>
        </is>
      </c>
      <c r="I27" t="inlineStr">
        <is>
          <t>أدوات صحية</t>
        </is>
      </c>
    </row>
    <row r="28">
      <c r="A28">
        <f>IMAGE("https://files.manuscdn.com/user_upload_by_module/session_file/310519663766182518/aDFYPaIrDccmZIlX.png")</f>
        <v/>
      </c>
      <c r="B28" t="inlineStr">
        <is>
          <t>product_page008_item02</t>
        </is>
      </c>
      <c r="C28" t="inlineStr">
        <is>
          <t>Blocko</t>
        </is>
      </c>
      <c r="D28" t="inlineStr">
        <is>
          <t>N/A</t>
        </is>
      </c>
      <c r="E28" t="inlineStr"/>
      <c r="F28" t="inlineStr">
        <is>
          <t>متنوع</t>
        </is>
      </c>
      <c r="G28" t="inlineStr"/>
      <c r="H28" t="inlineStr">
        <is>
          <t>1,000.00</t>
        </is>
      </c>
      <c r="I28" t="inlineStr">
        <is>
          <t>أدوات صحية</t>
        </is>
      </c>
    </row>
    <row r="29">
      <c r="A29">
        <f>IMAGE("https://files.manuscdn.com/user_upload_by_module/session_file/310519663766182518/slwvPEDRMXBrdfvk.png")</f>
        <v/>
      </c>
      <c r="B29" t="inlineStr">
        <is>
          <t>product_page008_item03</t>
        </is>
      </c>
      <c r="C29" t="inlineStr">
        <is>
          <t>Blocko</t>
        </is>
      </c>
      <c r="D29" t="inlineStr">
        <is>
          <t>N/A</t>
        </is>
      </c>
      <c r="E29" t="inlineStr"/>
      <c r="F29" t="inlineStr">
        <is>
          <t>متنوع</t>
        </is>
      </c>
      <c r="G29" t="inlineStr"/>
      <c r="H29" t="inlineStr">
        <is>
          <t>1,000.00</t>
        </is>
      </c>
      <c r="I29" t="inlineStr">
        <is>
          <t>أدوات صحية</t>
        </is>
      </c>
    </row>
    <row r="30">
      <c r="A30">
        <f>IMAGE("https://files.manuscdn.com/user_upload_by_module/session_file/310519663766182518/nXxQFCvujizkLWoQ.png")</f>
        <v/>
      </c>
      <c r="B30" t="inlineStr">
        <is>
          <t>product_page008_item04</t>
        </is>
      </c>
      <c r="C30" t="inlineStr">
        <is>
          <t>Blocko</t>
        </is>
      </c>
      <c r="D30" t="inlineStr">
        <is>
          <t>N/A</t>
        </is>
      </c>
      <c r="E30" t="inlineStr"/>
      <c r="F30" t="inlineStr">
        <is>
          <t>متنوع</t>
        </is>
      </c>
      <c r="G30" t="inlineStr"/>
      <c r="H30" t="inlineStr">
        <is>
          <t>1,000.00</t>
        </is>
      </c>
      <c r="I30" t="inlineStr">
        <is>
          <t>أدوات صحية</t>
        </is>
      </c>
    </row>
    <row r="31">
      <c r="A31">
        <f>IMAGE("https://files.manuscdn.com/user_upload_by_module/session_file/310519663766182518/FXpwPVbhedQWXFRK.png")</f>
        <v/>
      </c>
      <c r="B31" t="inlineStr">
        <is>
          <t>product_page008_item05</t>
        </is>
      </c>
      <c r="C31" t="inlineStr">
        <is>
          <t>Blocko</t>
        </is>
      </c>
      <c r="D31" t="inlineStr">
        <is>
          <t>N/A</t>
        </is>
      </c>
      <c r="E31" t="inlineStr"/>
      <c r="F31" t="inlineStr">
        <is>
          <t>متنوع</t>
        </is>
      </c>
      <c r="G31" t="inlineStr"/>
      <c r="H31" t="inlineStr">
        <is>
          <t>1,000.00</t>
        </is>
      </c>
      <c r="I31" t="inlineStr">
        <is>
          <t>أدوات صحية</t>
        </is>
      </c>
    </row>
    <row r="32">
      <c r="A32">
        <f>IMAGE("https://files.manuscdn.com/user_upload_by_module/session_file/310519663766182518/CqKWkNqHAZJUzAhp.png")</f>
        <v/>
      </c>
      <c r="B32" t="inlineStr">
        <is>
          <t>product_page009_item00</t>
        </is>
      </c>
      <c r="C32" t="inlineStr">
        <is>
          <t>Blocko</t>
        </is>
      </c>
      <c r="D32" t="inlineStr">
        <is>
          <t>N/A</t>
        </is>
      </c>
      <c r="E32" t="inlineStr"/>
      <c r="F32" t="inlineStr">
        <is>
          <t>متنوع</t>
        </is>
      </c>
      <c r="G32" t="inlineStr"/>
      <c r="H32" t="inlineStr">
        <is>
          <t>1,000.00</t>
        </is>
      </c>
      <c r="I32" t="inlineStr">
        <is>
          <t>أدوات صحية</t>
        </is>
      </c>
    </row>
    <row r="33">
      <c r="A33">
        <f>IMAGE("https://files.manuscdn.com/user_upload_by_module/session_file/310519663766182518/RIKSAndlYbGkfwcd.png")</f>
        <v/>
      </c>
      <c r="B33" t="inlineStr">
        <is>
          <t>product_page009_item01</t>
        </is>
      </c>
      <c r="C33" t="inlineStr">
        <is>
          <t>Blocko</t>
        </is>
      </c>
      <c r="D33" t="inlineStr">
        <is>
          <t>N/A</t>
        </is>
      </c>
      <c r="E33" t="inlineStr"/>
      <c r="F33" t="inlineStr">
        <is>
          <t>متنوع</t>
        </is>
      </c>
      <c r="G33" t="inlineStr"/>
      <c r="H33" t="inlineStr">
        <is>
          <t>1,000.00</t>
        </is>
      </c>
      <c r="I33" t="inlineStr">
        <is>
          <t>أدوات صحية</t>
        </is>
      </c>
    </row>
    <row r="34">
      <c r="A34">
        <f>IMAGE("https://files.manuscdn.com/user_upload_by_module/session_file/310519663766182518/PIxsCOlytBIxJpyj.png")</f>
        <v/>
      </c>
      <c r="B34" t="inlineStr">
        <is>
          <t>product_page009_item02</t>
        </is>
      </c>
      <c r="C34" t="inlineStr">
        <is>
          <t>Blocko</t>
        </is>
      </c>
      <c r="D34" t="inlineStr">
        <is>
          <t>N/A</t>
        </is>
      </c>
      <c r="E34" t="inlineStr"/>
      <c r="F34" t="inlineStr">
        <is>
          <t>متنوع</t>
        </is>
      </c>
      <c r="G34" t="inlineStr"/>
      <c r="H34" t="inlineStr">
        <is>
          <t>1,000.00</t>
        </is>
      </c>
      <c r="I34" t="inlineStr">
        <is>
          <t>أدوات صحية</t>
        </is>
      </c>
    </row>
    <row r="35">
      <c r="A35">
        <f>IMAGE("https://files.manuscdn.com/user_upload_by_module/session_file/310519663766182518/PSqTFaQojYMRpzNP.png")</f>
        <v/>
      </c>
      <c r="B35" t="inlineStr">
        <is>
          <t>product_page009_item03</t>
        </is>
      </c>
      <c r="C35" t="inlineStr">
        <is>
          <t>Blocko</t>
        </is>
      </c>
      <c r="D35" t="inlineStr">
        <is>
          <t>N/A</t>
        </is>
      </c>
      <c r="E35" t="inlineStr"/>
      <c r="F35" t="inlineStr">
        <is>
          <t>متنوع</t>
        </is>
      </c>
      <c r="G35" t="inlineStr"/>
      <c r="H35" t="inlineStr">
        <is>
          <t>1,000.00</t>
        </is>
      </c>
      <c r="I35" t="inlineStr">
        <is>
          <t>أدوات صحية</t>
        </is>
      </c>
    </row>
    <row r="36">
      <c r="A36">
        <f>IMAGE("https://files.manuscdn.com/user_upload_by_module/session_file/310519663766182518/hodlEnOlmjObxhTa.png")</f>
        <v/>
      </c>
      <c r="B36" t="inlineStr">
        <is>
          <t>product_page009_item04</t>
        </is>
      </c>
      <c r="C36" t="inlineStr">
        <is>
          <t>Blocko</t>
        </is>
      </c>
      <c r="D36" t="inlineStr">
        <is>
          <t>N/A</t>
        </is>
      </c>
      <c r="E36" t="inlineStr"/>
      <c r="F36" t="inlineStr">
        <is>
          <t>متنوع</t>
        </is>
      </c>
      <c r="G36" t="inlineStr"/>
      <c r="H36" t="inlineStr">
        <is>
          <t>1,000.00</t>
        </is>
      </c>
      <c r="I36" t="inlineStr">
        <is>
          <t>أدوات صحية</t>
        </is>
      </c>
    </row>
    <row r="37">
      <c r="A37">
        <f>IMAGE("https://files.manuscdn.com/user_upload_by_module/session_file/310519663766182518/vwOXJNVzzeeirPuB.png")</f>
        <v/>
      </c>
      <c r="B37" t="inlineStr">
        <is>
          <t>product_page009_item05</t>
        </is>
      </c>
      <c r="C37" t="inlineStr">
        <is>
          <t>Blocko</t>
        </is>
      </c>
      <c r="D37" t="inlineStr">
        <is>
          <t>N/A</t>
        </is>
      </c>
      <c r="E37" t="inlineStr"/>
      <c r="F37" t="inlineStr">
        <is>
          <t>متنوع</t>
        </is>
      </c>
      <c r="G37" t="inlineStr"/>
      <c r="H37" t="inlineStr">
        <is>
          <t>1,000.00</t>
        </is>
      </c>
      <c r="I37" t="inlineStr">
        <is>
          <t>أدوات صحية</t>
        </is>
      </c>
    </row>
    <row r="38">
      <c r="A38">
        <f>IMAGE("https://files.manuscdn.com/user_upload_by_module/session_file/310519663766182518/luFqokqONHobPvJD.png")</f>
        <v/>
      </c>
      <c r="B38" t="inlineStr">
        <is>
          <t>product_page009_item06</t>
        </is>
      </c>
      <c r="C38" t="inlineStr">
        <is>
          <t>Blocko</t>
        </is>
      </c>
      <c r="D38" t="inlineStr">
        <is>
          <t>N/A</t>
        </is>
      </c>
      <c r="E38" t="inlineStr"/>
      <c r="F38" t="inlineStr">
        <is>
          <t>متنوع</t>
        </is>
      </c>
      <c r="G38" t="inlineStr"/>
      <c r="H38" t="inlineStr">
        <is>
          <t>1,000.00</t>
        </is>
      </c>
      <c r="I38" t="inlineStr">
        <is>
          <t>أدوات صحية</t>
        </is>
      </c>
    </row>
    <row r="39">
      <c r="A39">
        <f>IMAGE("https://files.manuscdn.com/user_upload_by_module/session_file/310519663766182518/PlAEYfKFpmCAJayT.png")</f>
        <v/>
      </c>
      <c r="B39" t="inlineStr">
        <is>
          <t>product_page009_item07</t>
        </is>
      </c>
      <c r="C39" t="inlineStr">
        <is>
          <t>Blocko</t>
        </is>
      </c>
      <c r="D39" t="inlineStr">
        <is>
          <t>N/A</t>
        </is>
      </c>
      <c r="E39" t="inlineStr"/>
      <c r="F39" t="inlineStr">
        <is>
          <t>متنوع</t>
        </is>
      </c>
      <c r="G39" t="inlineStr"/>
      <c r="H39" t="inlineStr">
        <is>
          <t>1,000.00</t>
        </is>
      </c>
      <c r="I39" t="inlineStr">
        <is>
          <t>أدوات صحية</t>
        </is>
      </c>
    </row>
    <row r="40">
      <c r="A40">
        <f>IMAGE("https://files.manuscdn.com/user_upload_by_module/session_file/310519663766182518/BGGfbfHWypjGasqk.png")</f>
        <v/>
      </c>
      <c r="B40" t="inlineStr">
        <is>
          <t>product_page010_item00</t>
        </is>
      </c>
      <c r="C40" t="inlineStr">
        <is>
          <t>Blocko</t>
        </is>
      </c>
      <c r="D40" t="inlineStr">
        <is>
          <t>N/A</t>
        </is>
      </c>
      <c r="E40" t="inlineStr"/>
      <c r="F40" t="inlineStr">
        <is>
          <t>متنوع</t>
        </is>
      </c>
      <c r="G40" t="inlineStr"/>
      <c r="H40" t="inlineStr">
        <is>
          <t>1,000.00</t>
        </is>
      </c>
      <c r="I40" t="inlineStr">
        <is>
          <t>أدوات صحية</t>
        </is>
      </c>
    </row>
    <row r="41">
      <c r="A41">
        <f>IMAGE("https://files.manuscdn.com/user_upload_by_module/session_file/310519663766182518/bGKGkzNprtTkKJil.png")</f>
        <v/>
      </c>
      <c r="B41" t="inlineStr">
        <is>
          <t>product_page010_item01</t>
        </is>
      </c>
      <c r="C41" t="inlineStr">
        <is>
          <t>Blocko</t>
        </is>
      </c>
      <c r="D41" t="inlineStr">
        <is>
          <t>N/A</t>
        </is>
      </c>
      <c r="E41" t="inlineStr"/>
      <c r="F41" t="inlineStr">
        <is>
          <t>متنوع</t>
        </is>
      </c>
      <c r="G41" t="inlineStr"/>
      <c r="H41" t="inlineStr">
        <is>
          <t>1,000.00</t>
        </is>
      </c>
      <c r="I41" t="inlineStr">
        <is>
          <t>أدوات صحية</t>
        </is>
      </c>
    </row>
    <row r="42">
      <c r="A42">
        <f>IMAGE("https://files.manuscdn.com/user_upload_by_module/session_file/310519663766182518/ALKzTSLVJtpmWoiq.png")</f>
        <v/>
      </c>
      <c r="B42" t="inlineStr">
        <is>
          <t>product_page010_item02</t>
        </is>
      </c>
      <c r="C42" t="inlineStr">
        <is>
          <t>Blocko</t>
        </is>
      </c>
      <c r="D42" t="inlineStr">
        <is>
          <t>N/A</t>
        </is>
      </c>
      <c r="E42" t="inlineStr"/>
      <c r="F42" t="inlineStr">
        <is>
          <t>متنوع</t>
        </is>
      </c>
      <c r="G42" t="inlineStr"/>
      <c r="H42" t="inlineStr">
        <is>
          <t>1,000.00</t>
        </is>
      </c>
      <c r="I42" t="inlineStr">
        <is>
          <t>أدوات صحية</t>
        </is>
      </c>
    </row>
    <row r="43">
      <c r="A43">
        <f>IMAGE("https://files.manuscdn.com/user_upload_by_module/session_file/310519663766182518/sHgmBlBhSuERKljT.png")</f>
        <v/>
      </c>
      <c r="B43" t="inlineStr">
        <is>
          <t>product_page010_item03</t>
        </is>
      </c>
      <c r="C43" t="inlineStr">
        <is>
          <t>Blocko</t>
        </is>
      </c>
      <c r="D43" t="inlineStr">
        <is>
          <t>N/A</t>
        </is>
      </c>
      <c r="E43" t="inlineStr"/>
      <c r="F43" t="inlineStr">
        <is>
          <t>متنوع</t>
        </is>
      </c>
      <c r="G43" t="inlineStr"/>
      <c r="H43" t="inlineStr">
        <is>
          <t>1,000.00</t>
        </is>
      </c>
      <c r="I43" t="inlineStr">
        <is>
          <t>أدوات صحية</t>
        </is>
      </c>
    </row>
    <row r="44">
      <c r="A44">
        <f>IMAGE("https://files.manuscdn.com/user_upload_by_module/session_file/310519663766182518/ohNtjZFlttiLszLk.png")</f>
        <v/>
      </c>
      <c r="B44" t="inlineStr">
        <is>
          <t>product_page010_item04</t>
        </is>
      </c>
      <c r="C44" t="inlineStr">
        <is>
          <t>Blocko</t>
        </is>
      </c>
      <c r="D44" t="inlineStr">
        <is>
          <t>N/A</t>
        </is>
      </c>
      <c r="E44" t="inlineStr"/>
      <c r="F44" t="inlineStr">
        <is>
          <t>متنوع</t>
        </is>
      </c>
      <c r="G44" t="inlineStr"/>
      <c r="H44" t="inlineStr">
        <is>
          <t>1,000.00</t>
        </is>
      </c>
      <c r="I44" t="inlineStr">
        <is>
          <t>أدوات صحية</t>
        </is>
      </c>
    </row>
    <row r="45">
      <c r="A45">
        <f>IMAGE("https://files.manuscdn.com/user_upload_by_module/session_file/310519663766182518/pCPBBbZflbIlPmVU.png")</f>
        <v/>
      </c>
      <c r="B45" t="inlineStr">
        <is>
          <t>product_page010_item05</t>
        </is>
      </c>
      <c r="C45" t="inlineStr">
        <is>
          <t>Blocko</t>
        </is>
      </c>
      <c r="D45" t="inlineStr">
        <is>
          <t>N/A</t>
        </is>
      </c>
      <c r="E45" t="inlineStr"/>
      <c r="F45" t="inlineStr">
        <is>
          <t>متنوع</t>
        </is>
      </c>
      <c r="G45" t="inlineStr"/>
      <c r="H45" t="inlineStr">
        <is>
          <t>1,000.00</t>
        </is>
      </c>
      <c r="I45" t="inlineStr">
        <is>
          <t>أدوات صحية</t>
        </is>
      </c>
    </row>
    <row r="46">
      <c r="A46">
        <f>IMAGE("https://files.manuscdn.com/user_upload_by_module/session_file/310519663766182518/ZdAFSvvjzpbAClWx.png")</f>
        <v/>
      </c>
      <c r="B46" t="inlineStr">
        <is>
          <t>product_page010_item06</t>
        </is>
      </c>
      <c r="C46" t="inlineStr">
        <is>
          <t>Blocko</t>
        </is>
      </c>
      <c r="D46" t="inlineStr">
        <is>
          <t>N/A</t>
        </is>
      </c>
      <c r="E46" t="inlineStr"/>
      <c r="F46" t="inlineStr">
        <is>
          <t>متنوع</t>
        </is>
      </c>
      <c r="G46" t="inlineStr"/>
      <c r="H46" t="inlineStr">
        <is>
          <t>1,000.00</t>
        </is>
      </c>
      <c r="I46" t="inlineStr">
        <is>
          <t>أدوات صحية</t>
        </is>
      </c>
    </row>
    <row r="47">
      <c r="A47">
        <f>IMAGE("https://files.manuscdn.com/user_upload_by_module/session_file/310519663766182518/UMYBiafhONXPWhAT.png")</f>
        <v/>
      </c>
      <c r="B47" t="inlineStr">
        <is>
          <t>product_page010_item07</t>
        </is>
      </c>
      <c r="C47" t="inlineStr">
        <is>
          <t>Blocko</t>
        </is>
      </c>
      <c r="D47" t="inlineStr">
        <is>
          <t>N/A</t>
        </is>
      </c>
      <c r="E47" t="inlineStr"/>
      <c r="F47" t="inlineStr">
        <is>
          <t>متنوع</t>
        </is>
      </c>
      <c r="G47" t="inlineStr"/>
      <c r="H47" t="inlineStr">
        <is>
          <t>1,000.00</t>
        </is>
      </c>
      <c r="I47" t="inlineStr">
        <is>
          <t>أدوات صحية</t>
        </is>
      </c>
    </row>
    <row r="48">
      <c r="A48">
        <f>IMAGE("https://files.manuscdn.com/user_upload_by_module/session_file/310519663766182518/pHZFUGuIqOSUJcUf.png")</f>
        <v/>
      </c>
      <c r="B48" t="inlineStr">
        <is>
          <t>product_page010_item08</t>
        </is>
      </c>
      <c r="C48" t="inlineStr">
        <is>
          <t>Blocko</t>
        </is>
      </c>
      <c r="D48" t="inlineStr">
        <is>
          <t>N/A</t>
        </is>
      </c>
      <c r="E48" t="inlineStr"/>
      <c r="F48" t="inlineStr">
        <is>
          <t>متنوع</t>
        </is>
      </c>
      <c r="G48" t="inlineStr"/>
      <c r="H48" t="inlineStr">
        <is>
          <t>1,000.00</t>
        </is>
      </c>
      <c r="I48" t="inlineStr">
        <is>
          <t>أدوات صحية</t>
        </is>
      </c>
    </row>
    <row r="49">
      <c r="A49">
        <f>IMAGE("https://files.manuscdn.com/user_upload_by_module/session_file/310519663766182518/gYxIplgjmLedHsnc.png")</f>
        <v/>
      </c>
      <c r="B49" t="inlineStr">
        <is>
          <t>product_page010_item09</t>
        </is>
      </c>
      <c r="C49" t="inlineStr">
        <is>
          <t>Blocko</t>
        </is>
      </c>
      <c r="D49" t="inlineStr">
        <is>
          <t>N/A</t>
        </is>
      </c>
      <c r="E49" t="inlineStr"/>
      <c r="F49" t="inlineStr">
        <is>
          <t>متنوع</t>
        </is>
      </c>
      <c r="G49" t="inlineStr"/>
      <c r="H49" t="inlineStr">
        <is>
          <t>1,000.00</t>
        </is>
      </c>
      <c r="I49" t="inlineStr">
        <is>
          <t>أدوات صحية</t>
        </is>
      </c>
    </row>
    <row r="50">
      <c r="A50">
        <f>IMAGE("https://files.manuscdn.com/user_upload_by_module/session_file/310519663766182518/UKEmKwaYKCnBPraJ.png")</f>
        <v/>
      </c>
      <c r="B50" t="inlineStr">
        <is>
          <t>product_page010_item10</t>
        </is>
      </c>
      <c r="C50" t="inlineStr">
        <is>
          <t>Blocko</t>
        </is>
      </c>
      <c r="D50" t="inlineStr">
        <is>
          <t>N/A</t>
        </is>
      </c>
      <c r="E50" t="inlineStr"/>
      <c r="F50" t="inlineStr">
        <is>
          <t>متنوع</t>
        </is>
      </c>
      <c r="G50" t="inlineStr"/>
      <c r="H50" t="inlineStr">
        <is>
          <t>1,000.00</t>
        </is>
      </c>
      <c r="I50" t="inlineStr">
        <is>
          <t>أدوات صحية</t>
        </is>
      </c>
    </row>
    <row r="51">
      <c r="A51">
        <f>IMAGE("https://files.manuscdn.com/user_upload_by_module/session_file/310519663766182518/DgYECZUrabrRVdAe.png")</f>
        <v/>
      </c>
      <c r="B51" t="inlineStr">
        <is>
          <t>product_page010_item11</t>
        </is>
      </c>
      <c r="C51" t="inlineStr">
        <is>
          <t>Blocko</t>
        </is>
      </c>
      <c r="D51" t="inlineStr">
        <is>
          <t>N/A</t>
        </is>
      </c>
      <c r="E51" t="inlineStr"/>
      <c r="F51" t="inlineStr">
        <is>
          <t>متنوع</t>
        </is>
      </c>
      <c r="G51" t="inlineStr"/>
      <c r="H51" t="inlineStr">
        <is>
          <t>1,000.00</t>
        </is>
      </c>
      <c r="I51" t="inlineStr">
        <is>
          <t>أدوات صحية</t>
        </is>
      </c>
    </row>
    <row r="52">
      <c r="A52">
        <f>IMAGE("https://files.manuscdn.com/user_upload_by_module/session_file/310519663766182518/uphGHrqbLZyKCMfK.png")</f>
        <v/>
      </c>
      <c r="B52" t="inlineStr">
        <is>
          <t>product_page011_item00</t>
        </is>
      </c>
      <c r="C52" t="inlineStr">
        <is>
          <t>Blocko</t>
        </is>
      </c>
      <c r="D52" t="inlineStr">
        <is>
          <t>N/A</t>
        </is>
      </c>
      <c r="E52" t="inlineStr"/>
      <c r="F52" t="inlineStr">
        <is>
          <t>متنوع</t>
        </is>
      </c>
      <c r="G52" t="inlineStr"/>
      <c r="H52" t="inlineStr">
        <is>
          <t>1,000.00</t>
        </is>
      </c>
      <c r="I52" t="inlineStr">
        <is>
          <t>أدوات صحية</t>
        </is>
      </c>
    </row>
    <row r="53">
      <c r="A53">
        <f>IMAGE("https://files.manuscdn.com/user_upload_by_module/session_file/310519663766182518/eyAUrXXauPrEZkiO.png")</f>
        <v/>
      </c>
      <c r="B53" t="inlineStr">
        <is>
          <t>product_page011_item01</t>
        </is>
      </c>
      <c r="C53" t="inlineStr">
        <is>
          <t>Blocko</t>
        </is>
      </c>
      <c r="D53" t="inlineStr">
        <is>
          <t>N/A</t>
        </is>
      </c>
      <c r="E53" t="inlineStr"/>
      <c r="F53" t="inlineStr">
        <is>
          <t>متنوع</t>
        </is>
      </c>
      <c r="G53" t="inlineStr"/>
      <c r="H53" t="inlineStr">
        <is>
          <t>1,000.00</t>
        </is>
      </c>
      <c r="I53" t="inlineStr">
        <is>
          <t>أدوات صحية</t>
        </is>
      </c>
    </row>
    <row r="54">
      <c r="A54">
        <f>IMAGE("https://files.manuscdn.com/user_upload_by_module/session_file/310519663766182518/ZnYtACNjrOOdEmpi.png")</f>
        <v/>
      </c>
      <c r="B54" t="inlineStr">
        <is>
          <t>product_page011_item02</t>
        </is>
      </c>
      <c r="C54" t="inlineStr">
        <is>
          <t>Blocko</t>
        </is>
      </c>
      <c r="D54" t="inlineStr">
        <is>
          <t>N/A</t>
        </is>
      </c>
      <c r="E54" t="inlineStr"/>
      <c r="F54" t="inlineStr">
        <is>
          <t>متنوع</t>
        </is>
      </c>
      <c r="G54" t="inlineStr"/>
      <c r="H54" t="inlineStr">
        <is>
          <t>1,000.00</t>
        </is>
      </c>
      <c r="I54" t="inlineStr">
        <is>
          <t>أدوات صحية</t>
        </is>
      </c>
    </row>
    <row r="55">
      <c r="A55">
        <f>IMAGE("https://files.manuscdn.com/user_upload_by_module/session_file/310519663766182518/BxOyKYXUGQsVpsLV.png")</f>
        <v/>
      </c>
      <c r="B55" t="inlineStr">
        <is>
          <t>product_page011_item03</t>
        </is>
      </c>
      <c r="C55" t="inlineStr">
        <is>
          <t>Blocko</t>
        </is>
      </c>
      <c r="D55" t="inlineStr">
        <is>
          <t>N/A</t>
        </is>
      </c>
      <c r="E55" t="inlineStr"/>
      <c r="F55" t="inlineStr">
        <is>
          <t>متنوع</t>
        </is>
      </c>
      <c r="G55" t="inlineStr"/>
      <c r="H55" t="inlineStr">
        <is>
          <t>1,000.00</t>
        </is>
      </c>
      <c r="I55" t="inlineStr">
        <is>
          <t>أدوات صحية</t>
        </is>
      </c>
    </row>
    <row r="56">
      <c r="A56">
        <f>IMAGE("https://files.manuscdn.com/user_upload_by_module/session_file/310519663766182518/hQACqOjCzluKYnuS.png")</f>
        <v/>
      </c>
      <c r="B56" t="inlineStr">
        <is>
          <t>product_page012_item00</t>
        </is>
      </c>
      <c r="C56" t="inlineStr">
        <is>
          <t>Blocko</t>
        </is>
      </c>
      <c r="D56" t="inlineStr">
        <is>
          <t>N/A</t>
        </is>
      </c>
      <c r="E56" t="inlineStr"/>
      <c r="F56" t="inlineStr">
        <is>
          <t>متنوع</t>
        </is>
      </c>
      <c r="G56" t="inlineStr"/>
      <c r="H56" t="inlineStr">
        <is>
          <t>1,000.00</t>
        </is>
      </c>
      <c r="I56" t="inlineStr">
        <is>
          <t>أدوات صحية</t>
        </is>
      </c>
    </row>
    <row r="57">
      <c r="A57">
        <f>IMAGE("https://files.manuscdn.com/user_upload_by_module/session_file/310519663766182518/FbMbjCfqjqPyIjao.png")</f>
        <v/>
      </c>
      <c r="B57" t="inlineStr">
        <is>
          <t>product_page012_item01</t>
        </is>
      </c>
      <c r="C57" t="inlineStr">
        <is>
          <t>Blocko</t>
        </is>
      </c>
      <c r="D57" t="inlineStr">
        <is>
          <t>N/A</t>
        </is>
      </c>
      <c r="E57" t="inlineStr"/>
      <c r="F57" t="inlineStr">
        <is>
          <t>متنوع</t>
        </is>
      </c>
      <c r="G57" t="inlineStr"/>
      <c r="H57" t="inlineStr">
        <is>
          <t>1,000.00</t>
        </is>
      </c>
      <c r="I57" t="inlineStr">
        <is>
          <t>أدوات صحية</t>
        </is>
      </c>
    </row>
    <row r="58">
      <c r="A58">
        <f>IMAGE("https://files.manuscdn.com/user_upload_by_module/session_file/310519663766182518/thQiNbThvpRksFjk.png")</f>
        <v/>
      </c>
      <c r="B58" t="inlineStr">
        <is>
          <t>product_page012_item02</t>
        </is>
      </c>
      <c r="C58" t="inlineStr">
        <is>
          <t>Blocko</t>
        </is>
      </c>
      <c r="D58" t="inlineStr">
        <is>
          <t>N/A</t>
        </is>
      </c>
      <c r="E58" t="inlineStr"/>
      <c r="F58" t="inlineStr">
        <is>
          <t>متنوع</t>
        </is>
      </c>
      <c r="G58" t="inlineStr"/>
      <c r="H58" t="inlineStr">
        <is>
          <t>1,000.00</t>
        </is>
      </c>
      <c r="I58" t="inlineStr">
        <is>
          <t>أدوات صحية</t>
        </is>
      </c>
    </row>
    <row r="59">
      <c r="A59">
        <f>IMAGE("https://files.manuscdn.com/user_upload_by_module/session_file/310519663766182518/TRwueNaulTVpofxv.png")</f>
        <v/>
      </c>
      <c r="B59" t="inlineStr">
        <is>
          <t>product_page012_item03</t>
        </is>
      </c>
      <c r="C59" t="inlineStr">
        <is>
          <t>Blocko</t>
        </is>
      </c>
      <c r="D59" t="inlineStr">
        <is>
          <t>N/A</t>
        </is>
      </c>
      <c r="E59" t="inlineStr"/>
      <c r="F59" t="inlineStr">
        <is>
          <t>متنوع</t>
        </is>
      </c>
      <c r="G59" t="inlineStr"/>
      <c r="H59" t="inlineStr">
        <is>
          <t>1,000.00</t>
        </is>
      </c>
      <c r="I59" t="inlineStr">
        <is>
          <t>أدوات صحية</t>
        </is>
      </c>
    </row>
    <row r="60">
      <c r="A60">
        <f>IMAGE("https://files.manuscdn.com/user_upload_by_module/session_file/310519663766182518/YmYkBhVcesxTxwNy.png")</f>
        <v/>
      </c>
      <c r="B60" t="inlineStr">
        <is>
          <t>product_page012_item04</t>
        </is>
      </c>
      <c r="C60" t="inlineStr">
        <is>
          <t>Blocko</t>
        </is>
      </c>
      <c r="D60" t="inlineStr">
        <is>
          <t>N/A</t>
        </is>
      </c>
      <c r="E60" t="inlineStr"/>
      <c r="F60" t="inlineStr">
        <is>
          <t>متنوع</t>
        </is>
      </c>
      <c r="G60" t="inlineStr"/>
      <c r="H60" t="inlineStr">
        <is>
          <t>1,000.00</t>
        </is>
      </c>
      <c r="I60" t="inlineStr">
        <is>
          <t>أدوات صحية</t>
        </is>
      </c>
    </row>
    <row r="61">
      <c r="A61">
        <f>IMAGE("https://files.manuscdn.com/user_upload_by_module/session_file/310519663766182518/DrdFtPXLivdVnRsw.png")</f>
        <v/>
      </c>
      <c r="B61" t="inlineStr">
        <is>
          <t>product_page012_item05</t>
        </is>
      </c>
      <c r="C61" t="inlineStr">
        <is>
          <t>Blocko</t>
        </is>
      </c>
      <c r="D61" t="inlineStr">
        <is>
          <t>N/A</t>
        </is>
      </c>
      <c r="E61" t="inlineStr"/>
      <c r="F61" t="inlineStr">
        <is>
          <t>متنوع</t>
        </is>
      </c>
      <c r="G61" t="inlineStr"/>
      <c r="H61" t="inlineStr">
        <is>
          <t>1,000.00</t>
        </is>
      </c>
      <c r="I61" t="inlineStr">
        <is>
          <t>أدوات صحية</t>
        </is>
      </c>
    </row>
    <row r="62">
      <c r="A62">
        <f>IMAGE("https://files.manuscdn.com/user_upload_by_module/session_file/310519663766182518/RfGkjjmLcahtYDSv.png")</f>
        <v/>
      </c>
      <c r="B62" t="inlineStr">
        <is>
          <t>product_page012_item06</t>
        </is>
      </c>
      <c r="C62" t="inlineStr">
        <is>
          <t>Blocko</t>
        </is>
      </c>
      <c r="D62" t="inlineStr">
        <is>
          <t>N/A</t>
        </is>
      </c>
      <c r="E62" t="inlineStr"/>
      <c r="F62" t="inlineStr">
        <is>
          <t>متنوع</t>
        </is>
      </c>
      <c r="G62" t="inlineStr"/>
      <c r="H62" t="inlineStr">
        <is>
          <t>1,000.00</t>
        </is>
      </c>
      <c r="I62" t="inlineStr">
        <is>
          <t>أدوات صحية</t>
        </is>
      </c>
    </row>
    <row r="63">
      <c r="A63">
        <f>IMAGE("https://files.manuscdn.com/user_upload_by_module/session_file/310519663766182518/JvhlVGpiTpWvGDRo.png")</f>
        <v/>
      </c>
      <c r="B63" t="inlineStr">
        <is>
          <t>product_page012_item07</t>
        </is>
      </c>
      <c r="C63" t="inlineStr">
        <is>
          <t>Blocko</t>
        </is>
      </c>
      <c r="D63" t="inlineStr">
        <is>
          <t>N/A</t>
        </is>
      </c>
      <c r="E63" t="inlineStr"/>
      <c r="F63" t="inlineStr">
        <is>
          <t>متنوع</t>
        </is>
      </c>
      <c r="G63" t="inlineStr"/>
      <c r="H63" t="inlineStr">
        <is>
          <t>1,000.00</t>
        </is>
      </c>
      <c r="I63" t="inlineStr">
        <is>
          <t>أدوات صحية</t>
        </is>
      </c>
    </row>
    <row r="64">
      <c r="A64">
        <f>IMAGE("https://files.manuscdn.com/user_upload_by_module/session_file/310519663766182518/PObLRsQaSQCAugHK.png")</f>
        <v/>
      </c>
      <c r="B64" t="inlineStr">
        <is>
          <t>product_page012_item08</t>
        </is>
      </c>
      <c r="C64" t="inlineStr">
        <is>
          <t>Blocko</t>
        </is>
      </c>
      <c r="D64" t="inlineStr">
        <is>
          <t>N/A</t>
        </is>
      </c>
      <c r="E64" t="inlineStr"/>
      <c r="F64" t="inlineStr">
        <is>
          <t>متنوع</t>
        </is>
      </c>
      <c r="G64" t="inlineStr"/>
      <c r="H64" t="inlineStr">
        <is>
          <t>1,000.00</t>
        </is>
      </c>
      <c r="I64" t="inlineStr">
        <is>
          <t>أدوات صحية</t>
        </is>
      </c>
    </row>
    <row r="65">
      <c r="A65">
        <f>IMAGE("https://files.manuscdn.com/user_upload_by_module/session_file/310519663766182518/wAZqKmnPPytwbuGd.png")</f>
        <v/>
      </c>
      <c r="B65" t="inlineStr">
        <is>
          <t>product_page012_item09</t>
        </is>
      </c>
      <c r="C65" t="inlineStr">
        <is>
          <t>Blocko</t>
        </is>
      </c>
      <c r="D65" t="inlineStr">
        <is>
          <t>N/A</t>
        </is>
      </c>
      <c r="E65" t="inlineStr"/>
      <c r="F65" t="inlineStr">
        <is>
          <t>متنوع</t>
        </is>
      </c>
      <c r="G65" t="inlineStr"/>
      <c r="H65" t="inlineStr">
        <is>
          <t>1,000.00</t>
        </is>
      </c>
      <c r="I65" t="inlineStr">
        <is>
          <t>أدوات صحية</t>
        </is>
      </c>
    </row>
    <row r="66">
      <c r="A66">
        <f>IMAGE("https://files.manuscdn.com/user_upload_by_module/session_file/310519663766182518/GLgomzcgpsEqIexd.png")</f>
        <v/>
      </c>
      <c r="B66" t="inlineStr">
        <is>
          <t>product_page012_item10</t>
        </is>
      </c>
      <c r="C66" t="inlineStr">
        <is>
          <t>Blocko</t>
        </is>
      </c>
      <c r="D66" t="inlineStr">
        <is>
          <t>N/A</t>
        </is>
      </c>
      <c r="E66" t="inlineStr"/>
      <c r="F66" t="inlineStr">
        <is>
          <t>متنوع</t>
        </is>
      </c>
      <c r="G66" t="inlineStr"/>
      <c r="H66" t="inlineStr">
        <is>
          <t>1,000.00</t>
        </is>
      </c>
      <c r="I66" t="inlineStr">
        <is>
          <t>أدوات صحية</t>
        </is>
      </c>
    </row>
    <row r="67">
      <c r="A67">
        <f>IMAGE("https://files.manuscdn.com/user_upload_by_module/session_file/310519663766182518/aXdmcieaagjUjAPP.png")</f>
        <v/>
      </c>
      <c r="B67" t="inlineStr">
        <is>
          <t>product_page012_item11</t>
        </is>
      </c>
      <c r="C67" t="inlineStr">
        <is>
          <t>Blocko</t>
        </is>
      </c>
      <c r="D67" t="inlineStr">
        <is>
          <t>N/A</t>
        </is>
      </c>
      <c r="E67" t="inlineStr"/>
      <c r="F67" t="inlineStr">
        <is>
          <t>متنوع</t>
        </is>
      </c>
      <c r="G67" t="inlineStr"/>
      <c r="H67" t="inlineStr">
        <is>
          <t>1,000.00</t>
        </is>
      </c>
      <c r="I67" t="inlineStr">
        <is>
          <t>أدوات صحية</t>
        </is>
      </c>
    </row>
    <row r="68">
      <c r="A68">
        <f>IMAGE("https://files.manuscdn.com/user_upload_by_module/session_file/310519663766182518/WYJsrbtUPvXFDSyY.png")</f>
        <v/>
      </c>
      <c r="B68" t="inlineStr">
        <is>
          <t>product_page013_item00</t>
        </is>
      </c>
      <c r="C68" t="inlineStr">
        <is>
          <t>Blocko</t>
        </is>
      </c>
      <c r="D68" t="inlineStr">
        <is>
          <t>N/A</t>
        </is>
      </c>
      <c r="E68" t="inlineStr"/>
      <c r="F68" t="inlineStr">
        <is>
          <t>متنوع</t>
        </is>
      </c>
      <c r="G68" t="inlineStr"/>
      <c r="H68" t="inlineStr">
        <is>
          <t>1,000.00</t>
        </is>
      </c>
      <c r="I68" t="inlineStr">
        <is>
          <t>أدوات صحية</t>
        </is>
      </c>
    </row>
    <row r="69">
      <c r="A69">
        <f>IMAGE("https://files.manuscdn.com/user_upload_by_module/session_file/310519663766182518/YNxgTsuMqxlfSgfT.png")</f>
        <v/>
      </c>
      <c r="B69" t="inlineStr">
        <is>
          <t>product_page013_item01</t>
        </is>
      </c>
      <c r="C69" t="inlineStr">
        <is>
          <t>Blocko</t>
        </is>
      </c>
      <c r="D69" t="inlineStr">
        <is>
          <t>N/A</t>
        </is>
      </c>
      <c r="E69" t="inlineStr"/>
      <c r="F69" t="inlineStr">
        <is>
          <t>متنوع</t>
        </is>
      </c>
      <c r="G69" t="inlineStr"/>
      <c r="H69" t="inlineStr">
        <is>
          <t>1,000.00</t>
        </is>
      </c>
      <c r="I69" t="inlineStr">
        <is>
          <t>أدوات صحية</t>
        </is>
      </c>
    </row>
    <row r="70">
      <c r="A70">
        <f>IMAGE("https://files.manuscdn.com/user_upload_by_module/session_file/310519663766182518/GqWdmSMBVNJwVWkn.png")</f>
        <v/>
      </c>
      <c r="B70" t="inlineStr">
        <is>
          <t>product_page013_item02</t>
        </is>
      </c>
      <c r="C70" t="inlineStr">
        <is>
          <t>Blocko</t>
        </is>
      </c>
      <c r="D70" t="inlineStr">
        <is>
          <t>N/A</t>
        </is>
      </c>
      <c r="E70" t="inlineStr"/>
      <c r="F70" t="inlineStr">
        <is>
          <t>متنوع</t>
        </is>
      </c>
      <c r="G70" t="inlineStr"/>
      <c r="H70" t="inlineStr">
        <is>
          <t>1,000.00</t>
        </is>
      </c>
      <c r="I70" t="inlineStr">
        <is>
          <t>أدوات صحية</t>
        </is>
      </c>
    </row>
    <row r="71">
      <c r="A71">
        <f>IMAGE("https://files.manuscdn.com/user_upload_by_module/session_file/310519663766182518/zSwPrOUoweRyZLkP.png")</f>
        <v/>
      </c>
      <c r="B71" t="inlineStr">
        <is>
          <t>product_page013_item03</t>
        </is>
      </c>
      <c r="C71" t="inlineStr">
        <is>
          <t>Blocko</t>
        </is>
      </c>
      <c r="D71" t="inlineStr">
        <is>
          <t>N/A</t>
        </is>
      </c>
      <c r="E71" t="inlineStr"/>
      <c r="F71" t="inlineStr">
        <is>
          <t>متنوع</t>
        </is>
      </c>
      <c r="G71" t="inlineStr"/>
      <c r="H71" t="inlineStr">
        <is>
          <t>1,000.00</t>
        </is>
      </c>
      <c r="I71" t="inlineStr">
        <is>
          <t>أدوات صحية</t>
        </is>
      </c>
    </row>
    <row r="72">
      <c r="A72">
        <f>IMAGE("https://files.manuscdn.com/user_upload_by_module/session_file/310519663766182518/UsXgMtxCYepLNQiT.png")</f>
        <v/>
      </c>
      <c r="B72" t="inlineStr">
        <is>
          <t>product_page013_item04</t>
        </is>
      </c>
      <c r="C72" t="inlineStr">
        <is>
          <t>Blocko</t>
        </is>
      </c>
      <c r="D72" t="inlineStr">
        <is>
          <t>N/A</t>
        </is>
      </c>
      <c r="E72" t="inlineStr"/>
      <c r="F72" t="inlineStr">
        <is>
          <t>متنوع</t>
        </is>
      </c>
      <c r="G72" t="inlineStr"/>
      <c r="H72" t="inlineStr">
        <is>
          <t>1,000.00</t>
        </is>
      </c>
      <c r="I72" t="inlineStr">
        <is>
          <t>أدوات صحية</t>
        </is>
      </c>
    </row>
    <row r="73">
      <c r="A73">
        <f>IMAGE("https://files.manuscdn.com/user_upload_by_module/session_file/310519663766182518/mMxaJZjdAZGDSFYu.png")</f>
        <v/>
      </c>
      <c r="B73" t="inlineStr">
        <is>
          <t>product_page013_item05</t>
        </is>
      </c>
      <c r="C73" t="inlineStr">
        <is>
          <t>Blocko</t>
        </is>
      </c>
      <c r="D73" t="inlineStr">
        <is>
          <t>N/A</t>
        </is>
      </c>
      <c r="E73" t="inlineStr"/>
      <c r="F73" t="inlineStr">
        <is>
          <t>متنوع</t>
        </is>
      </c>
      <c r="G73" t="inlineStr"/>
      <c r="H73" t="inlineStr">
        <is>
          <t>1,000.00</t>
        </is>
      </c>
      <c r="I73" t="inlineStr">
        <is>
          <t>أدوات صحية</t>
        </is>
      </c>
    </row>
    <row r="74">
      <c r="A74">
        <f>IMAGE("https://files.manuscdn.com/user_upload_by_module/session_file/310519663766182518/QpxwgYNCaXRwJVOu.png")</f>
        <v/>
      </c>
      <c r="B74" t="inlineStr">
        <is>
          <t>product_page013_item06</t>
        </is>
      </c>
      <c r="C74" t="inlineStr">
        <is>
          <t>Blocko</t>
        </is>
      </c>
      <c r="D74" t="inlineStr">
        <is>
          <t>N/A</t>
        </is>
      </c>
      <c r="E74" t="inlineStr"/>
      <c r="F74" t="inlineStr">
        <is>
          <t>متنوع</t>
        </is>
      </c>
      <c r="G74" t="inlineStr"/>
      <c r="H74" t="inlineStr">
        <is>
          <t>1,000.00</t>
        </is>
      </c>
      <c r="I74" t="inlineStr">
        <is>
          <t>أدوات صحية</t>
        </is>
      </c>
    </row>
    <row r="75">
      <c r="A75">
        <f>IMAGE("https://files.manuscdn.com/user_upload_by_module/session_file/310519663766182518/hVUTPEMGCXggHjZV.png")</f>
        <v/>
      </c>
      <c r="B75" t="inlineStr">
        <is>
          <t>product_page013_item07</t>
        </is>
      </c>
      <c r="C75" t="inlineStr">
        <is>
          <t>Blocko</t>
        </is>
      </c>
      <c r="D75" t="inlineStr">
        <is>
          <t>N/A</t>
        </is>
      </c>
      <c r="E75" t="inlineStr"/>
      <c r="F75" t="inlineStr">
        <is>
          <t>متنوع</t>
        </is>
      </c>
      <c r="G75" t="inlineStr"/>
      <c r="H75" t="inlineStr">
        <is>
          <t>1,000.00</t>
        </is>
      </c>
      <c r="I75" t="inlineStr">
        <is>
          <t>أدوات صحية</t>
        </is>
      </c>
    </row>
    <row r="76">
      <c r="A76">
        <f>IMAGE("https://files.manuscdn.com/user_upload_by_module/session_file/310519663766182518/rEIrJeVUbHpqMYat.png")</f>
        <v/>
      </c>
      <c r="B76" t="inlineStr">
        <is>
          <t>product_page013_item08</t>
        </is>
      </c>
      <c r="C76" t="inlineStr">
        <is>
          <t>Blocko</t>
        </is>
      </c>
      <c r="D76" t="inlineStr">
        <is>
          <t>N/A</t>
        </is>
      </c>
      <c r="E76" t="inlineStr"/>
      <c r="F76" t="inlineStr">
        <is>
          <t>متنوع</t>
        </is>
      </c>
      <c r="G76" t="inlineStr"/>
      <c r="H76" t="inlineStr">
        <is>
          <t>1,000.00</t>
        </is>
      </c>
      <c r="I76" t="inlineStr">
        <is>
          <t>أدوات صحية</t>
        </is>
      </c>
    </row>
    <row r="77">
      <c r="A77">
        <f>IMAGE("https://files.manuscdn.com/user_upload_by_module/session_file/310519663766182518/UBrLCANgutSMVlNk.png")</f>
        <v/>
      </c>
      <c r="B77" t="inlineStr">
        <is>
          <t>product_page013_item09</t>
        </is>
      </c>
      <c r="C77" t="inlineStr">
        <is>
          <t>Blocko</t>
        </is>
      </c>
      <c r="D77" t="inlineStr">
        <is>
          <t>N/A</t>
        </is>
      </c>
      <c r="E77" t="inlineStr"/>
      <c r="F77" t="inlineStr">
        <is>
          <t>متنوع</t>
        </is>
      </c>
      <c r="G77" t="inlineStr"/>
      <c r="H77" t="inlineStr">
        <is>
          <t>1,000.00</t>
        </is>
      </c>
      <c r="I77" t="inlineStr">
        <is>
          <t>أدوات صحية</t>
        </is>
      </c>
    </row>
    <row r="78">
      <c r="A78">
        <f>IMAGE("https://files.manuscdn.com/user_upload_by_module/session_file/310519663766182518/QQFztuBmRqoBfyIh.png")</f>
        <v/>
      </c>
      <c r="B78" t="inlineStr">
        <is>
          <t>product_page013_item10</t>
        </is>
      </c>
      <c r="C78" t="inlineStr">
        <is>
          <t>Blocko</t>
        </is>
      </c>
      <c r="D78" t="inlineStr">
        <is>
          <t>N/A</t>
        </is>
      </c>
      <c r="E78" t="inlineStr"/>
      <c r="F78" t="inlineStr">
        <is>
          <t>متنوع</t>
        </is>
      </c>
      <c r="G78" t="inlineStr"/>
      <c r="H78" t="inlineStr">
        <is>
          <t>1,000.00</t>
        </is>
      </c>
      <c r="I78" t="inlineStr">
        <is>
          <t>أدوات صحية</t>
        </is>
      </c>
    </row>
    <row r="79">
      <c r="A79">
        <f>IMAGE("https://files.manuscdn.com/user_upload_by_module/session_file/310519663766182518/LwbwFTovvceubYnQ.png")</f>
        <v/>
      </c>
      <c r="B79" t="inlineStr">
        <is>
          <t>product_page013_item11</t>
        </is>
      </c>
      <c r="C79" t="inlineStr">
        <is>
          <t>Blocko</t>
        </is>
      </c>
      <c r="D79" t="inlineStr">
        <is>
          <t>N/A</t>
        </is>
      </c>
      <c r="E79" t="inlineStr"/>
      <c r="F79" t="inlineStr">
        <is>
          <t>متنوع</t>
        </is>
      </c>
      <c r="G79" t="inlineStr"/>
      <c r="H79" t="inlineStr">
        <is>
          <t>1,000.00</t>
        </is>
      </c>
      <c r="I79" t="inlineStr">
        <is>
          <t>أدوات صحية</t>
        </is>
      </c>
    </row>
    <row r="80">
      <c r="A80">
        <f>IMAGE("https://files.manuscdn.com/user_upload_by_module/session_file/310519663766182518/OXVrozJSBpXkzvRs.png")</f>
        <v/>
      </c>
      <c r="B80" t="inlineStr">
        <is>
          <t>product_page014_item00</t>
        </is>
      </c>
      <c r="C80" t="inlineStr">
        <is>
          <t>Blocko</t>
        </is>
      </c>
      <c r="D80" t="inlineStr">
        <is>
          <t>N/A</t>
        </is>
      </c>
      <c r="E80" t="inlineStr"/>
      <c r="F80" t="inlineStr">
        <is>
          <t>متنوع</t>
        </is>
      </c>
      <c r="G80" t="inlineStr"/>
      <c r="H80" t="inlineStr">
        <is>
          <t>1,000.00</t>
        </is>
      </c>
      <c r="I80" t="inlineStr">
        <is>
          <t>أدوات صحية</t>
        </is>
      </c>
    </row>
    <row r="81">
      <c r="A81">
        <f>IMAGE("https://files.manuscdn.com/user_upload_by_module/session_file/310519663766182518/elvZPDvBRNuyotmp.png")</f>
        <v/>
      </c>
      <c r="B81" t="inlineStr">
        <is>
          <t>product_page014_item01</t>
        </is>
      </c>
      <c r="C81" t="inlineStr">
        <is>
          <t>Blocko</t>
        </is>
      </c>
      <c r="D81" t="inlineStr">
        <is>
          <t>N/A</t>
        </is>
      </c>
      <c r="E81" t="inlineStr"/>
      <c r="F81" t="inlineStr">
        <is>
          <t>متنوع</t>
        </is>
      </c>
      <c r="G81" t="inlineStr"/>
      <c r="H81" t="inlineStr">
        <is>
          <t>1,000.00</t>
        </is>
      </c>
      <c r="I81" t="inlineStr">
        <is>
          <t>أدوات صحية</t>
        </is>
      </c>
    </row>
    <row r="82">
      <c r="A82">
        <f>IMAGE("https://files.manuscdn.com/user_upload_by_module/session_file/310519663766182518/SozPOxGuVbJAbNEt.png")</f>
        <v/>
      </c>
      <c r="B82" t="inlineStr">
        <is>
          <t>product_page014_item02</t>
        </is>
      </c>
      <c r="C82" t="inlineStr">
        <is>
          <t>Blocko</t>
        </is>
      </c>
      <c r="D82" t="inlineStr">
        <is>
          <t>N/A</t>
        </is>
      </c>
      <c r="E82" t="inlineStr"/>
      <c r="F82" t="inlineStr">
        <is>
          <t>متنوع</t>
        </is>
      </c>
      <c r="G82" t="inlineStr"/>
      <c r="H82" t="inlineStr">
        <is>
          <t>1,000.00</t>
        </is>
      </c>
      <c r="I82" t="inlineStr">
        <is>
          <t>أدوات صحية</t>
        </is>
      </c>
    </row>
    <row r="83">
      <c r="A83">
        <f>IMAGE("https://files.manuscdn.com/user_upload_by_module/session_file/310519663766182518/yITbihtadZgffonh.png")</f>
        <v/>
      </c>
      <c r="B83" t="inlineStr">
        <is>
          <t>product_page014_item03</t>
        </is>
      </c>
      <c r="C83" t="inlineStr">
        <is>
          <t>Blocko</t>
        </is>
      </c>
      <c r="D83" t="inlineStr">
        <is>
          <t>N/A</t>
        </is>
      </c>
      <c r="E83" t="inlineStr"/>
      <c r="F83" t="inlineStr">
        <is>
          <t>متنوع</t>
        </is>
      </c>
      <c r="G83" t="inlineStr"/>
      <c r="H83" t="inlineStr">
        <is>
          <t>1,000.00</t>
        </is>
      </c>
      <c r="I83" t="inlineStr">
        <is>
          <t>أدوات صحية</t>
        </is>
      </c>
    </row>
    <row r="84">
      <c r="A84">
        <f>IMAGE("https://files.manuscdn.com/user_upload_by_module/session_file/310519663766182518/dAnIBDifRskJgxNF.png")</f>
        <v/>
      </c>
      <c r="B84" t="inlineStr">
        <is>
          <t>product_page015_item00</t>
        </is>
      </c>
      <c r="C84" t="inlineStr">
        <is>
          <t>Blocko</t>
        </is>
      </c>
      <c r="D84" t="inlineStr">
        <is>
          <t>N/A</t>
        </is>
      </c>
      <c r="E84" t="inlineStr"/>
      <c r="F84" t="inlineStr">
        <is>
          <t>متنوع</t>
        </is>
      </c>
      <c r="G84" t="inlineStr"/>
      <c r="H84" t="inlineStr">
        <is>
          <t>1,000.00</t>
        </is>
      </c>
      <c r="I84" t="inlineStr">
        <is>
          <t>أدوات صحية</t>
        </is>
      </c>
    </row>
    <row r="85">
      <c r="A85">
        <f>IMAGE("https://files.manuscdn.com/user_upload_by_module/session_file/310519663766182518/yzWNACUbSqUOvjBO.png")</f>
        <v/>
      </c>
      <c r="B85" t="inlineStr">
        <is>
          <t>product_page015_item01</t>
        </is>
      </c>
      <c r="C85" t="inlineStr">
        <is>
          <t>Blocko</t>
        </is>
      </c>
      <c r="D85" t="inlineStr">
        <is>
          <t>N/A</t>
        </is>
      </c>
      <c r="E85" t="inlineStr"/>
      <c r="F85" t="inlineStr">
        <is>
          <t>متنوع</t>
        </is>
      </c>
      <c r="G85" t="inlineStr"/>
      <c r="H85" t="inlineStr">
        <is>
          <t>1,000.00</t>
        </is>
      </c>
      <c r="I85" t="inlineStr">
        <is>
          <t>أدوات صحية</t>
        </is>
      </c>
    </row>
    <row r="86">
      <c r="A86">
        <f>IMAGE("https://files.manuscdn.com/user_upload_by_module/session_file/310519663766182518/QrEryfewcBgRoBAA.png")</f>
        <v/>
      </c>
      <c r="B86" t="inlineStr">
        <is>
          <t>product_page015_item02</t>
        </is>
      </c>
      <c r="C86" t="inlineStr">
        <is>
          <t>Blocko</t>
        </is>
      </c>
      <c r="D86" t="inlineStr">
        <is>
          <t>N/A</t>
        </is>
      </c>
      <c r="E86" t="inlineStr"/>
      <c r="F86" t="inlineStr">
        <is>
          <t>متنوع</t>
        </is>
      </c>
      <c r="G86" t="inlineStr"/>
      <c r="H86" t="inlineStr">
        <is>
          <t>1,000.00</t>
        </is>
      </c>
      <c r="I86" t="inlineStr">
        <is>
          <t>أدوات صحية</t>
        </is>
      </c>
    </row>
    <row r="87">
      <c r="A87">
        <f>IMAGE("https://files.manuscdn.com/user_upload_by_module/session_file/310519663766182518/sHxTNtDNUfuSNirl.png")</f>
        <v/>
      </c>
      <c r="B87" t="inlineStr">
        <is>
          <t>product_page015_item03</t>
        </is>
      </c>
      <c r="C87" t="inlineStr">
        <is>
          <t>Blocko</t>
        </is>
      </c>
      <c r="D87" t="inlineStr">
        <is>
          <t>N/A</t>
        </is>
      </c>
      <c r="E87" t="inlineStr"/>
      <c r="F87" t="inlineStr">
        <is>
          <t>متنوع</t>
        </is>
      </c>
      <c r="G87" t="inlineStr"/>
      <c r="H87" t="inlineStr">
        <is>
          <t>1,000.00</t>
        </is>
      </c>
      <c r="I87" t="inlineStr">
        <is>
          <t>أدوات صحية</t>
        </is>
      </c>
    </row>
    <row r="88">
      <c r="A88">
        <f>IMAGE("https://files.manuscdn.com/user_upload_by_module/session_file/310519663766182518/tQbmZuCgMOlWXSFw.png")</f>
        <v/>
      </c>
      <c r="B88" t="inlineStr">
        <is>
          <t>product_page016_item00</t>
        </is>
      </c>
      <c r="C88" t="inlineStr">
        <is>
          <t>Blocko</t>
        </is>
      </c>
      <c r="D88" t="inlineStr">
        <is>
          <t>N/A</t>
        </is>
      </c>
      <c r="E88" t="inlineStr"/>
      <c r="F88" t="inlineStr">
        <is>
          <t>متنوع</t>
        </is>
      </c>
      <c r="G88" t="inlineStr"/>
      <c r="H88" t="inlineStr">
        <is>
          <t>1,000.00</t>
        </is>
      </c>
      <c r="I88" t="inlineStr">
        <is>
          <t>أدوات صحية</t>
        </is>
      </c>
    </row>
    <row r="89">
      <c r="A89">
        <f>IMAGE("https://files.manuscdn.com/user_upload_by_module/session_file/310519663766182518/dHLJpZoRRZbTXBrq.png")</f>
        <v/>
      </c>
      <c r="B89" t="inlineStr">
        <is>
          <t>product_page016_item01</t>
        </is>
      </c>
      <c r="C89" t="inlineStr">
        <is>
          <t>Blocko</t>
        </is>
      </c>
      <c r="D89" t="inlineStr">
        <is>
          <t>N/A</t>
        </is>
      </c>
      <c r="E89" t="inlineStr"/>
      <c r="F89" t="inlineStr">
        <is>
          <t>متنوع</t>
        </is>
      </c>
      <c r="G89" t="inlineStr"/>
      <c r="H89" t="inlineStr">
        <is>
          <t>1,000.00</t>
        </is>
      </c>
      <c r="I89" t="inlineStr">
        <is>
          <t>أدوات صحية</t>
        </is>
      </c>
    </row>
    <row r="90">
      <c r="A90">
        <f>IMAGE("https://files.manuscdn.com/user_upload_by_module/session_file/310519663766182518/pNkWnPFKSvwNMznh.png")</f>
        <v/>
      </c>
      <c r="B90" t="inlineStr">
        <is>
          <t>product_page016_item02</t>
        </is>
      </c>
      <c r="C90" t="inlineStr">
        <is>
          <t>Blocko</t>
        </is>
      </c>
      <c r="D90" t="inlineStr">
        <is>
          <t>N/A</t>
        </is>
      </c>
      <c r="E90" t="inlineStr"/>
      <c r="F90" t="inlineStr">
        <is>
          <t>متنوع</t>
        </is>
      </c>
      <c r="G90" t="inlineStr"/>
      <c r="H90" t="inlineStr">
        <is>
          <t>1,000.00</t>
        </is>
      </c>
      <c r="I90" t="inlineStr">
        <is>
          <t>أدوات صحية</t>
        </is>
      </c>
    </row>
    <row r="91">
      <c r="A91">
        <f>IMAGE("https://files.manuscdn.com/user_upload_by_module/session_file/310519663766182518/vMimWpCHDlTbDdvi.png")</f>
        <v/>
      </c>
      <c r="B91" t="inlineStr">
        <is>
          <t>product_page016_item03</t>
        </is>
      </c>
      <c r="C91" t="inlineStr">
        <is>
          <t>Blocko</t>
        </is>
      </c>
      <c r="D91" t="inlineStr">
        <is>
          <t>N/A</t>
        </is>
      </c>
      <c r="E91" t="inlineStr"/>
      <c r="F91" t="inlineStr">
        <is>
          <t>متنوع</t>
        </is>
      </c>
      <c r="G91" t="inlineStr"/>
      <c r="H91" t="inlineStr">
        <is>
          <t>1,000.00</t>
        </is>
      </c>
      <c r="I91" t="inlineStr">
        <is>
          <t>أدوات صحية</t>
        </is>
      </c>
    </row>
    <row r="92">
      <c r="A92">
        <f>IMAGE("https://files.manuscdn.com/user_upload_by_module/session_file/310519663766182518/HOBqGFVmDIrTfOaM.png")</f>
        <v/>
      </c>
      <c r="B92" t="inlineStr">
        <is>
          <t>product_page016_item04</t>
        </is>
      </c>
      <c r="C92" t="inlineStr">
        <is>
          <t>Blocko</t>
        </is>
      </c>
      <c r="D92" t="inlineStr">
        <is>
          <t>N/A</t>
        </is>
      </c>
      <c r="E92" t="inlineStr"/>
      <c r="F92" t="inlineStr">
        <is>
          <t>متنوع</t>
        </is>
      </c>
      <c r="G92" t="inlineStr"/>
      <c r="H92" t="inlineStr">
        <is>
          <t>1,000.00</t>
        </is>
      </c>
      <c r="I92" t="inlineStr">
        <is>
          <t>أدوات صحية</t>
        </is>
      </c>
    </row>
    <row r="93">
      <c r="A93">
        <f>IMAGE("https://files.manuscdn.com/user_upload_by_module/session_file/310519663766182518/FRZPiCmRFTdEiCyg.png")</f>
        <v/>
      </c>
      <c r="B93" t="inlineStr">
        <is>
          <t>product_page016_item05</t>
        </is>
      </c>
      <c r="C93" t="inlineStr">
        <is>
          <t>Blocko</t>
        </is>
      </c>
      <c r="D93" t="inlineStr">
        <is>
          <t>N/A</t>
        </is>
      </c>
      <c r="E93" t="inlineStr"/>
      <c r="F93" t="inlineStr">
        <is>
          <t>متنوع</t>
        </is>
      </c>
      <c r="G93" t="inlineStr"/>
      <c r="H93" t="inlineStr">
        <is>
          <t>1,000.00</t>
        </is>
      </c>
      <c r="I93" t="inlineStr">
        <is>
          <t>أدوات صحية</t>
        </is>
      </c>
    </row>
    <row r="94">
      <c r="A94">
        <f>IMAGE("https://files.manuscdn.com/user_upload_by_module/session_file/310519663766182518/hTDBadWOcOdghGgv.png")</f>
        <v/>
      </c>
      <c r="B94" t="inlineStr">
        <is>
          <t>product_page017_item00</t>
        </is>
      </c>
      <c r="C94" t="inlineStr">
        <is>
          <t>Blocko</t>
        </is>
      </c>
      <c r="D94" t="inlineStr">
        <is>
          <t>N/A</t>
        </is>
      </c>
      <c r="E94" t="inlineStr"/>
      <c r="F94" t="inlineStr">
        <is>
          <t>متنوع</t>
        </is>
      </c>
      <c r="G94" t="inlineStr"/>
      <c r="H94" t="inlineStr">
        <is>
          <t>1,000.00</t>
        </is>
      </c>
      <c r="I94" t="inlineStr">
        <is>
          <t>أدوات صحية</t>
        </is>
      </c>
    </row>
    <row r="95">
      <c r="A95">
        <f>IMAGE("https://files.manuscdn.com/user_upload_by_module/session_file/310519663766182518/EmKgfySmNbonoaZs.png")</f>
        <v/>
      </c>
      <c r="B95" t="inlineStr">
        <is>
          <t>product_page017_item01</t>
        </is>
      </c>
      <c r="C95" t="inlineStr">
        <is>
          <t>Blocko</t>
        </is>
      </c>
      <c r="D95" t="inlineStr">
        <is>
          <t>N/A</t>
        </is>
      </c>
      <c r="E95" t="inlineStr"/>
      <c r="F95" t="inlineStr">
        <is>
          <t>متنوع</t>
        </is>
      </c>
      <c r="G95" t="inlineStr"/>
      <c r="H95" t="inlineStr">
        <is>
          <t>1,000.00</t>
        </is>
      </c>
      <c r="I95" t="inlineStr">
        <is>
          <t>أدوات صحية</t>
        </is>
      </c>
    </row>
    <row r="96">
      <c r="A96">
        <f>IMAGE("https://files.manuscdn.com/user_upload_by_module/session_file/310519663766182518/KeiFFZWgSuZHANct.png")</f>
        <v/>
      </c>
      <c r="B96" t="inlineStr">
        <is>
          <t>product_page017_item02</t>
        </is>
      </c>
      <c r="C96" t="inlineStr">
        <is>
          <t>Blocko</t>
        </is>
      </c>
      <c r="D96" t="inlineStr">
        <is>
          <t>N/A</t>
        </is>
      </c>
      <c r="E96" t="inlineStr"/>
      <c r="F96" t="inlineStr">
        <is>
          <t>متنوع</t>
        </is>
      </c>
      <c r="G96" t="inlineStr"/>
      <c r="H96" t="inlineStr">
        <is>
          <t>1,000.00</t>
        </is>
      </c>
      <c r="I96" t="inlineStr">
        <is>
          <t>أدوات صحية</t>
        </is>
      </c>
    </row>
    <row r="97">
      <c r="A97">
        <f>IMAGE("https://files.manuscdn.com/user_upload_by_module/session_file/310519663766182518/cyBFYzWoUDHlRhJw.png")</f>
        <v/>
      </c>
      <c r="B97" t="inlineStr">
        <is>
          <t>product_page017_item03</t>
        </is>
      </c>
      <c r="C97" t="inlineStr">
        <is>
          <t>Blocko</t>
        </is>
      </c>
      <c r="D97" t="inlineStr">
        <is>
          <t>N/A</t>
        </is>
      </c>
      <c r="E97" t="inlineStr"/>
      <c r="F97" t="inlineStr">
        <is>
          <t>متنوع</t>
        </is>
      </c>
      <c r="G97" t="inlineStr"/>
      <c r="H97" t="inlineStr">
        <is>
          <t>1,000.00</t>
        </is>
      </c>
      <c r="I97" t="inlineStr">
        <is>
          <t>أدوات صحية</t>
        </is>
      </c>
    </row>
    <row r="98">
      <c r="A98">
        <f>IMAGE("https://files.manuscdn.com/user_upload_by_module/session_file/310519663766182518/tcTuXNqiKBiCKCEA.png")</f>
        <v/>
      </c>
      <c r="B98" t="inlineStr">
        <is>
          <t>product_page017_item04</t>
        </is>
      </c>
      <c r="C98" t="inlineStr">
        <is>
          <t>Blocko</t>
        </is>
      </c>
      <c r="D98" t="inlineStr">
        <is>
          <t>N/A</t>
        </is>
      </c>
      <c r="E98" t="inlineStr"/>
      <c r="F98" t="inlineStr">
        <is>
          <t>متنوع</t>
        </is>
      </c>
      <c r="G98" t="inlineStr"/>
      <c r="H98" t="inlineStr">
        <is>
          <t>1,000.00</t>
        </is>
      </c>
      <c r="I98" t="inlineStr">
        <is>
          <t>أدوات صحية</t>
        </is>
      </c>
    </row>
    <row r="99">
      <c r="A99">
        <f>IMAGE("https://files.manuscdn.com/user_upload_by_module/session_file/310519663766182518/YoKwDLjQOQZWrJtO.png")</f>
        <v/>
      </c>
      <c r="B99" t="inlineStr">
        <is>
          <t>product_page017_item05</t>
        </is>
      </c>
      <c r="C99" t="inlineStr">
        <is>
          <t>Blocko</t>
        </is>
      </c>
      <c r="D99" t="inlineStr">
        <is>
          <t>N/A</t>
        </is>
      </c>
      <c r="E99" t="inlineStr"/>
      <c r="F99" t="inlineStr">
        <is>
          <t>متنوع</t>
        </is>
      </c>
      <c r="G99" t="inlineStr"/>
      <c r="H99" t="inlineStr">
        <is>
          <t>1,000.00</t>
        </is>
      </c>
      <c r="I99" t="inlineStr">
        <is>
          <t>أدوات صحية</t>
        </is>
      </c>
    </row>
    <row r="100">
      <c r="A100">
        <f>IMAGE("https://files.manuscdn.com/user_upload_by_module/session_file/310519663766182518/ACbsdsIujQxWBNMT.png")</f>
        <v/>
      </c>
      <c r="B100" t="inlineStr">
        <is>
          <t>product_page017_item06</t>
        </is>
      </c>
      <c r="C100" t="inlineStr">
        <is>
          <t>Blocko</t>
        </is>
      </c>
      <c r="D100" t="inlineStr">
        <is>
          <t>N/A</t>
        </is>
      </c>
      <c r="E100" t="inlineStr"/>
      <c r="F100" t="inlineStr">
        <is>
          <t>متنوع</t>
        </is>
      </c>
      <c r="G100" t="inlineStr"/>
      <c r="H100" t="inlineStr">
        <is>
          <t>1,000.00</t>
        </is>
      </c>
      <c r="I100" t="inlineStr">
        <is>
          <t>أدوات صحية</t>
        </is>
      </c>
    </row>
    <row r="101">
      <c r="A101">
        <f>IMAGE("https://files.manuscdn.com/user_upload_by_module/session_file/310519663766182518/EpFrJVWsegOuXHqX.png")</f>
        <v/>
      </c>
      <c r="B101" t="inlineStr">
        <is>
          <t>product_page017_item07</t>
        </is>
      </c>
      <c r="C101" t="inlineStr">
        <is>
          <t>Blocko</t>
        </is>
      </c>
      <c r="D101" t="inlineStr">
        <is>
          <t>N/A</t>
        </is>
      </c>
      <c r="E101" t="inlineStr"/>
      <c r="F101" t="inlineStr">
        <is>
          <t>متنوع</t>
        </is>
      </c>
      <c r="G101" t="inlineStr"/>
      <c r="H101" t="inlineStr">
        <is>
          <t>1,000.00</t>
        </is>
      </c>
      <c r="I101" t="inlineStr">
        <is>
          <t>أدوات صحية</t>
        </is>
      </c>
    </row>
    <row r="102">
      <c r="A102">
        <f>IMAGE("https://files.manuscdn.com/user_upload_by_module/session_file/310519663766182518/ukdDNpdBVVFixAdl.png")</f>
        <v/>
      </c>
      <c r="B102" t="inlineStr">
        <is>
          <t>product_page017_item08</t>
        </is>
      </c>
      <c r="C102" t="inlineStr">
        <is>
          <t>Blocko</t>
        </is>
      </c>
      <c r="D102" t="inlineStr">
        <is>
          <t>N/A</t>
        </is>
      </c>
      <c r="E102" t="inlineStr"/>
      <c r="F102" t="inlineStr">
        <is>
          <t>متنوع</t>
        </is>
      </c>
      <c r="G102" t="inlineStr"/>
      <c r="H102" t="inlineStr">
        <is>
          <t>1,000.00</t>
        </is>
      </c>
      <c r="I102" t="inlineStr">
        <is>
          <t>أدوات صحية</t>
        </is>
      </c>
    </row>
    <row r="103">
      <c r="A103">
        <f>IMAGE("https://files.manuscdn.com/user_upload_by_module/session_file/310519663766182518/yfiSIyRnRWDjgnmE.png")</f>
        <v/>
      </c>
      <c r="B103" t="inlineStr">
        <is>
          <t>product_page017_item09</t>
        </is>
      </c>
      <c r="C103" t="inlineStr">
        <is>
          <t>Blocko</t>
        </is>
      </c>
      <c r="D103" t="inlineStr">
        <is>
          <t>N/A</t>
        </is>
      </c>
      <c r="E103" t="inlineStr"/>
      <c r="F103" t="inlineStr">
        <is>
          <t>متنوع</t>
        </is>
      </c>
      <c r="G103" t="inlineStr"/>
      <c r="H103" t="inlineStr">
        <is>
          <t>1,000.00</t>
        </is>
      </c>
      <c r="I103" t="inlineStr">
        <is>
          <t>أدوات صحية</t>
        </is>
      </c>
    </row>
    <row r="104">
      <c r="A104">
        <f>IMAGE("https://files.manuscdn.com/user_upload_by_module/session_file/310519663766182518/YhmZQhFfQwTFhCFI.png")</f>
        <v/>
      </c>
      <c r="B104" t="inlineStr">
        <is>
          <t>product_page017_item10</t>
        </is>
      </c>
      <c r="C104" t="inlineStr">
        <is>
          <t>Blocko</t>
        </is>
      </c>
      <c r="D104" t="inlineStr">
        <is>
          <t>N/A</t>
        </is>
      </c>
      <c r="E104" t="inlineStr"/>
      <c r="F104" t="inlineStr">
        <is>
          <t>متنوع</t>
        </is>
      </c>
      <c r="G104" t="inlineStr"/>
      <c r="H104" t="inlineStr">
        <is>
          <t>1,000.00</t>
        </is>
      </c>
      <c r="I104" t="inlineStr">
        <is>
          <t>أدوات صحية</t>
        </is>
      </c>
    </row>
    <row r="105">
      <c r="A105">
        <f>IMAGE("https://files.manuscdn.com/user_upload_by_module/session_file/310519663766182518/XUDkKUKipvNFiCVF.png")</f>
        <v/>
      </c>
      <c r="B105" t="inlineStr">
        <is>
          <t>product_page017_item11</t>
        </is>
      </c>
      <c r="C105" t="inlineStr">
        <is>
          <t>Blocko</t>
        </is>
      </c>
      <c r="D105" t="inlineStr">
        <is>
          <t>N/A</t>
        </is>
      </c>
      <c r="E105" t="inlineStr"/>
      <c r="F105" t="inlineStr">
        <is>
          <t>متنوع</t>
        </is>
      </c>
      <c r="G105" t="inlineStr"/>
      <c r="H105" t="inlineStr">
        <is>
          <t>1,000.00</t>
        </is>
      </c>
      <c r="I105" t="inlineStr">
        <is>
          <t>أدوات صحية</t>
        </is>
      </c>
    </row>
    <row r="106">
      <c r="A106">
        <f>IMAGE("https://files.manuscdn.com/user_upload_by_module/session_file/310519663766182518/NHBCrprRzKJMIUNM.png")</f>
        <v/>
      </c>
      <c r="B106" t="inlineStr">
        <is>
          <t>product_page018_item00</t>
        </is>
      </c>
      <c r="C106" t="inlineStr">
        <is>
          <t>Blocko</t>
        </is>
      </c>
      <c r="D106" t="inlineStr">
        <is>
          <t>N/A</t>
        </is>
      </c>
      <c r="E106" t="inlineStr"/>
      <c r="F106" t="inlineStr">
        <is>
          <t>متنوع</t>
        </is>
      </c>
      <c r="G106" t="inlineStr"/>
      <c r="H106" t="inlineStr">
        <is>
          <t>1,000.00</t>
        </is>
      </c>
      <c r="I106" t="inlineStr">
        <is>
          <t>أدوات صحية</t>
        </is>
      </c>
    </row>
    <row r="107">
      <c r="A107">
        <f>IMAGE("https://files.manuscdn.com/user_upload_by_module/session_file/310519663766182518/TXUnggbbKDnJpPQU.png")</f>
        <v/>
      </c>
      <c r="B107" t="inlineStr">
        <is>
          <t>product_page018_item01</t>
        </is>
      </c>
      <c r="C107" t="inlineStr">
        <is>
          <t>Blocko</t>
        </is>
      </c>
      <c r="D107" t="inlineStr">
        <is>
          <t>N/A</t>
        </is>
      </c>
      <c r="E107" t="inlineStr"/>
      <c r="F107" t="inlineStr">
        <is>
          <t>متنوع</t>
        </is>
      </c>
      <c r="G107" t="inlineStr"/>
      <c r="H107" t="inlineStr">
        <is>
          <t>1,000.00</t>
        </is>
      </c>
      <c r="I107" t="inlineStr">
        <is>
          <t>أدوات صحية</t>
        </is>
      </c>
    </row>
    <row r="108">
      <c r="A108">
        <f>IMAGE("https://files.manuscdn.com/user_upload_by_module/session_file/310519663766182518/vKDZhFiMZkVEIVLm.png")</f>
        <v/>
      </c>
      <c r="B108" t="inlineStr">
        <is>
          <t>product_page018_item02</t>
        </is>
      </c>
      <c r="C108" t="inlineStr">
        <is>
          <t>Blocko</t>
        </is>
      </c>
      <c r="D108" t="inlineStr">
        <is>
          <t>N/A</t>
        </is>
      </c>
      <c r="E108" t="inlineStr"/>
      <c r="F108" t="inlineStr">
        <is>
          <t>متنوع</t>
        </is>
      </c>
      <c r="G108" t="inlineStr"/>
      <c r="H108" t="inlineStr">
        <is>
          <t>1,000.00</t>
        </is>
      </c>
      <c r="I108" t="inlineStr">
        <is>
          <t>أدوات صحية</t>
        </is>
      </c>
    </row>
    <row r="109">
      <c r="A109">
        <f>IMAGE("https://files.manuscdn.com/user_upload_by_module/session_file/310519663766182518/ONdUbWNeKLYyaizH.png")</f>
        <v/>
      </c>
      <c r="B109" t="inlineStr">
        <is>
          <t>product_page018_item03</t>
        </is>
      </c>
      <c r="C109" t="inlineStr">
        <is>
          <t>Blocko</t>
        </is>
      </c>
      <c r="D109" t="inlineStr">
        <is>
          <t>N/A</t>
        </is>
      </c>
      <c r="E109" t="inlineStr"/>
      <c r="F109" t="inlineStr">
        <is>
          <t>متنوع</t>
        </is>
      </c>
      <c r="G109" t="inlineStr"/>
      <c r="H109" t="inlineStr">
        <is>
          <t>1,000.00</t>
        </is>
      </c>
      <c r="I109" t="inlineStr">
        <is>
          <t>أدوات صحية</t>
        </is>
      </c>
    </row>
    <row r="110">
      <c r="A110">
        <f>IMAGE("https://files.manuscdn.com/user_upload_by_module/session_file/310519663766182518/nfvTfQZuMlVxFCDc.png")</f>
        <v/>
      </c>
      <c r="B110" t="inlineStr">
        <is>
          <t>product_page019_item00</t>
        </is>
      </c>
      <c r="C110" t="inlineStr">
        <is>
          <t>Blocko</t>
        </is>
      </c>
      <c r="D110" t="inlineStr">
        <is>
          <t>N/A</t>
        </is>
      </c>
      <c r="E110" t="inlineStr"/>
      <c r="F110" t="inlineStr">
        <is>
          <t>متنوع</t>
        </is>
      </c>
      <c r="G110" t="inlineStr"/>
      <c r="H110" t="inlineStr">
        <is>
          <t>1,000.00</t>
        </is>
      </c>
      <c r="I110" t="inlineStr">
        <is>
          <t>أدوات صحية</t>
        </is>
      </c>
    </row>
    <row r="111">
      <c r="A111">
        <f>IMAGE("https://files.manuscdn.com/user_upload_by_module/session_file/310519663766182518/RQWIsbKBkqqoxETF.png")</f>
        <v/>
      </c>
      <c r="B111" t="inlineStr">
        <is>
          <t>product_page019_item01</t>
        </is>
      </c>
      <c r="C111" t="inlineStr">
        <is>
          <t>Blocko</t>
        </is>
      </c>
      <c r="D111" t="inlineStr">
        <is>
          <t>N/A</t>
        </is>
      </c>
      <c r="E111" t="inlineStr"/>
      <c r="F111" t="inlineStr">
        <is>
          <t>متنوع</t>
        </is>
      </c>
      <c r="G111" t="inlineStr"/>
      <c r="H111" t="inlineStr">
        <is>
          <t>1,000.00</t>
        </is>
      </c>
      <c r="I111" t="inlineStr">
        <is>
          <t>أدوات صحية</t>
        </is>
      </c>
    </row>
    <row r="112">
      <c r="A112">
        <f>IMAGE("https://files.manuscdn.com/user_upload_by_module/session_file/310519663766182518/CtlXFsYAcKlubCjl.png")</f>
        <v/>
      </c>
      <c r="B112" t="inlineStr">
        <is>
          <t>product_page019_item02</t>
        </is>
      </c>
      <c r="C112" t="inlineStr">
        <is>
          <t>Blocko</t>
        </is>
      </c>
      <c r="D112" t="inlineStr">
        <is>
          <t>N/A</t>
        </is>
      </c>
      <c r="E112" t="inlineStr"/>
      <c r="F112" t="inlineStr">
        <is>
          <t>متنوع</t>
        </is>
      </c>
      <c r="G112" t="inlineStr"/>
      <c r="H112" t="inlineStr">
        <is>
          <t>1,000.00</t>
        </is>
      </c>
      <c r="I112" t="inlineStr">
        <is>
          <t>أدوات صحية</t>
        </is>
      </c>
    </row>
    <row r="113">
      <c r="A113">
        <f>IMAGE("https://files.manuscdn.com/user_upload_by_module/session_file/310519663766182518/RcDJWfYxtvquSEAb.png")</f>
        <v/>
      </c>
      <c r="B113" t="inlineStr">
        <is>
          <t>product_page019_item03</t>
        </is>
      </c>
      <c r="C113" t="inlineStr">
        <is>
          <t>Blocko</t>
        </is>
      </c>
      <c r="D113" t="inlineStr">
        <is>
          <t>N/A</t>
        </is>
      </c>
      <c r="E113" t="inlineStr"/>
      <c r="F113" t="inlineStr">
        <is>
          <t>متنوع</t>
        </is>
      </c>
      <c r="G113" t="inlineStr"/>
      <c r="H113" t="inlineStr">
        <is>
          <t>1,000.00</t>
        </is>
      </c>
      <c r="I113" t="inlineStr">
        <is>
          <t>أدوات صحية</t>
        </is>
      </c>
    </row>
    <row r="114">
      <c r="A114">
        <f>IMAGE("https://files.manuscdn.com/user_upload_by_module/session_file/310519663766182518/JgXCVeoSuxjNysaa.png")</f>
        <v/>
      </c>
      <c r="B114" t="inlineStr">
        <is>
          <t>product_page019_item04</t>
        </is>
      </c>
      <c r="C114" t="inlineStr">
        <is>
          <t>Blocko</t>
        </is>
      </c>
      <c r="D114" t="inlineStr">
        <is>
          <t>N/A</t>
        </is>
      </c>
      <c r="E114" t="inlineStr"/>
      <c r="F114" t="inlineStr">
        <is>
          <t>متنوع</t>
        </is>
      </c>
      <c r="G114" t="inlineStr"/>
      <c r="H114" t="inlineStr">
        <is>
          <t>1,000.00</t>
        </is>
      </c>
      <c r="I114" t="inlineStr">
        <is>
          <t>أدوات صحية</t>
        </is>
      </c>
    </row>
    <row r="115">
      <c r="A115">
        <f>IMAGE("https://files.manuscdn.com/user_upload_by_module/session_file/310519663766182518/SmYOGxXgCTOMiqia.png")</f>
        <v/>
      </c>
      <c r="B115" t="inlineStr">
        <is>
          <t>product_page019_item05</t>
        </is>
      </c>
      <c r="C115" t="inlineStr">
        <is>
          <t>Blocko</t>
        </is>
      </c>
      <c r="D115" t="inlineStr">
        <is>
          <t>N/A</t>
        </is>
      </c>
      <c r="E115" t="inlineStr"/>
      <c r="F115" t="inlineStr">
        <is>
          <t>متنوع</t>
        </is>
      </c>
      <c r="G115" t="inlineStr"/>
      <c r="H115" t="inlineStr">
        <is>
          <t>1,000.00</t>
        </is>
      </c>
      <c r="I115" t="inlineStr">
        <is>
          <t>أدوات صحية</t>
        </is>
      </c>
    </row>
    <row r="116">
      <c r="A116">
        <f>IMAGE("https://files.manuscdn.com/user_upload_by_module/session_file/310519663766182518/xLYqEGKGhbuGAzrp.png")</f>
        <v/>
      </c>
      <c r="B116" t="inlineStr">
        <is>
          <t>product_page020_item00</t>
        </is>
      </c>
      <c r="C116" t="inlineStr">
        <is>
          <t>Blocko</t>
        </is>
      </c>
      <c r="D116" t="inlineStr">
        <is>
          <t>N/A</t>
        </is>
      </c>
      <c r="E116" t="inlineStr"/>
      <c r="F116" t="inlineStr">
        <is>
          <t>متنوع</t>
        </is>
      </c>
      <c r="G116" t="inlineStr"/>
      <c r="H116" t="inlineStr">
        <is>
          <t>1,000.00</t>
        </is>
      </c>
      <c r="I116" t="inlineStr">
        <is>
          <t>أدوات صحية</t>
        </is>
      </c>
    </row>
    <row r="117">
      <c r="A117">
        <f>IMAGE("https://files.manuscdn.com/user_upload_by_module/session_file/310519663766182518/ZtFAhtjPnKtFeONu.png")</f>
        <v/>
      </c>
      <c r="B117" t="inlineStr">
        <is>
          <t>product_page020_item01</t>
        </is>
      </c>
      <c r="C117" t="inlineStr">
        <is>
          <t>Blocko</t>
        </is>
      </c>
      <c r="D117" t="inlineStr">
        <is>
          <t>N/A</t>
        </is>
      </c>
      <c r="E117" t="inlineStr"/>
      <c r="F117" t="inlineStr">
        <is>
          <t>متنوع</t>
        </is>
      </c>
      <c r="G117" t="inlineStr"/>
      <c r="H117" t="inlineStr">
        <is>
          <t>1,000.00</t>
        </is>
      </c>
      <c r="I117" t="inlineStr">
        <is>
          <t>أدوات صحية</t>
        </is>
      </c>
    </row>
    <row r="118">
      <c r="A118">
        <f>IMAGE("https://files.manuscdn.com/user_upload_by_module/session_file/310519663766182518/VWnWlVxlQHduysPS.png")</f>
        <v/>
      </c>
      <c r="B118" t="inlineStr">
        <is>
          <t>product_page020_item02</t>
        </is>
      </c>
      <c r="C118" t="inlineStr">
        <is>
          <t>Blocko</t>
        </is>
      </c>
      <c r="D118" t="inlineStr">
        <is>
          <t>N/A</t>
        </is>
      </c>
      <c r="E118" t="inlineStr"/>
      <c r="F118" t="inlineStr">
        <is>
          <t>متنوع</t>
        </is>
      </c>
      <c r="G118" t="inlineStr"/>
      <c r="H118" t="inlineStr">
        <is>
          <t>1,000.00</t>
        </is>
      </c>
      <c r="I118" t="inlineStr">
        <is>
          <t>أدوات صحية</t>
        </is>
      </c>
    </row>
    <row r="119">
      <c r="A119">
        <f>IMAGE("https://files.manuscdn.com/user_upload_by_module/session_file/310519663766182518/HvDIaSaxgVlaBFfx.png")</f>
        <v/>
      </c>
      <c r="B119" t="inlineStr">
        <is>
          <t>product_page020_item03</t>
        </is>
      </c>
      <c r="C119" t="inlineStr">
        <is>
          <t>Blocko</t>
        </is>
      </c>
      <c r="D119" t="inlineStr">
        <is>
          <t>N/A</t>
        </is>
      </c>
      <c r="E119" t="inlineStr"/>
      <c r="F119" t="inlineStr">
        <is>
          <t>متنوع</t>
        </is>
      </c>
      <c r="G119" t="inlineStr"/>
      <c r="H119" t="inlineStr">
        <is>
          <t>1,000.00</t>
        </is>
      </c>
      <c r="I119" t="inlineStr">
        <is>
          <t>أدوات صحية</t>
        </is>
      </c>
    </row>
    <row r="120">
      <c r="A120">
        <f>IMAGE("https://files.manuscdn.com/user_upload_by_module/session_file/310519663766182518/bWijUlEdZxSCZjFd.png")</f>
        <v/>
      </c>
      <c r="B120" t="inlineStr">
        <is>
          <t>product_page020_item04</t>
        </is>
      </c>
      <c r="C120" t="inlineStr">
        <is>
          <t>Blocko</t>
        </is>
      </c>
      <c r="D120" t="inlineStr">
        <is>
          <t>N/A</t>
        </is>
      </c>
      <c r="E120" t="inlineStr"/>
      <c r="F120" t="inlineStr">
        <is>
          <t>متنوع</t>
        </is>
      </c>
      <c r="G120" t="inlineStr"/>
      <c r="H120" t="inlineStr">
        <is>
          <t>1,000.00</t>
        </is>
      </c>
      <c r="I120" t="inlineStr">
        <is>
          <t>أدوات صحية</t>
        </is>
      </c>
    </row>
    <row r="121">
      <c r="A121">
        <f>IMAGE("https://files.manuscdn.com/user_upload_by_module/session_file/310519663766182518/kvVNHTxbNxmCfEHJ.png")</f>
        <v/>
      </c>
      <c r="B121" t="inlineStr">
        <is>
          <t>product_page020_item05</t>
        </is>
      </c>
      <c r="C121" t="inlineStr">
        <is>
          <t>Blocko</t>
        </is>
      </c>
      <c r="D121" t="inlineStr">
        <is>
          <t>N/A</t>
        </is>
      </c>
      <c r="E121" t="inlineStr"/>
      <c r="F121" t="inlineStr">
        <is>
          <t>متنوع</t>
        </is>
      </c>
      <c r="G121" t="inlineStr"/>
      <c r="H121" t="inlineStr">
        <is>
          <t>1,000.00</t>
        </is>
      </c>
      <c r="I121" t="inlineStr">
        <is>
          <t>أدوات صحية</t>
        </is>
      </c>
    </row>
    <row r="122">
      <c r="A122">
        <f>IMAGE("https://files.manuscdn.com/user_upload_by_module/session_file/310519663766182518/LwbfEKCDtIhoGldi.png")</f>
        <v/>
      </c>
      <c r="B122" t="inlineStr">
        <is>
          <t>product_page021_item00</t>
        </is>
      </c>
      <c r="C122" t="inlineStr">
        <is>
          <t>Blocko</t>
        </is>
      </c>
      <c r="D122" t="inlineStr">
        <is>
          <t>N/A</t>
        </is>
      </c>
      <c r="E122" t="inlineStr"/>
      <c r="F122" t="inlineStr">
        <is>
          <t>متنوع</t>
        </is>
      </c>
      <c r="G122" t="inlineStr"/>
      <c r="H122" t="inlineStr">
        <is>
          <t>1,000.00</t>
        </is>
      </c>
      <c r="I122" t="inlineStr">
        <is>
          <t>أدوات صحية</t>
        </is>
      </c>
    </row>
    <row r="123">
      <c r="A123">
        <f>IMAGE("https://files.manuscdn.com/user_upload_by_module/session_file/310519663766182518/dKiaSTlempDrtQKh.png")</f>
        <v/>
      </c>
      <c r="B123" t="inlineStr">
        <is>
          <t>product_page021_item01</t>
        </is>
      </c>
      <c r="C123" t="inlineStr">
        <is>
          <t>Blocko</t>
        </is>
      </c>
      <c r="D123" t="inlineStr">
        <is>
          <t>N/A</t>
        </is>
      </c>
      <c r="E123" t="inlineStr"/>
      <c r="F123" t="inlineStr">
        <is>
          <t>متنوع</t>
        </is>
      </c>
      <c r="G123" t="inlineStr"/>
      <c r="H123" t="inlineStr">
        <is>
          <t>1,000.00</t>
        </is>
      </c>
      <c r="I123" t="inlineStr">
        <is>
          <t>أدوات صحية</t>
        </is>
      </c>
    </row>
    <row r="124">
      <c r="A124">
        <f>IMAGE("https://files.manuscdn.com/user_upload_by_module/session_file/310519663766182518/slfOjDwAhgIOSIvX.png")</f>
        <v/>
      </c>
      <c r="B124" t="inlineStr">
        <is>
          <t>product_page021_item02</t>
        </is>
      </c>
      <c r="C124" t="inlineStr">
        <is>
          <t>Blocko</t>
        </is>
      </c>
      <c r="D124" t="inlineStr">
        <is>
          <t>N/A</t>
        </is>
      </c>
      <c r="E124" t="inlineStr"/>
      <c r="F124" t="inlineStr">
        <is>
          <t>متنوع</t>
        </is>
      </c>
      <c r="G124" t="inlineStr"/>
      <c r="H124" t="inlineStr">
        <is>
          <t>1,000.00</t>
        </is>
      </c>
      <c r="I124" t="inlineStr">
        <is>
          <t>أدوات صحية</t>
        </is>
      </c>
    </row>
    <row r="125">
      <c r="A125">
        <f>IMAGE("https://files.manuscdn.com/user_upload_by_module/session_file/310519663766182518/rRDUrHqKPRilZhqx.png")</f>
        <v/>
      </c>
      <c r="B125" t="inlineStr">
        <is>
          <t>product_page021_item03</t>
        </is>
      </c>
      <c r="C125" t="inlineStr">
        <is>
          <t>Blocko</t>
        </is>
      </c>
      <c r="D125" t="inlineStr">
        <is>
          <t>N/A</t>
        </is>
      </c>
      <c r="E125" t="inlineStr"/>
      <c r="F125" t="inlineStr">
        <is>
          <t>متنوع</t>
        </is>
      </c>
      <c r="G125" t="inlineStr"/>
      <c r="H125" t="inlineStr">
        <is>
          <t>1,000.00</t>
        </is>
      </c>
      <c r="I125" t="inlineStr">
        <is>
          <t>أدوات صحية</t>
        </is>
      </c>
    </row>
    <row r="126">
      <c r="A126">
        <f>IMAGE("https://files.manuscdn.com/user_upload_by_module/session_file/310519663766182518/qucZcKmoHRtaCClL.png")</f>
        <v/>
      </c>
      <c r="B126" t="inlineStr">
        <is>
          <t>product_page021_item04</t>
        </is>
      </c>
      <c r="C126" t="inlineStr">
        <is>
          <t>Blocko</t>
        </is>
      </c>
      <c r="D126" t="inlineStr">
        <is>
          <t>N/A</t>
        </is>
      </c>
      <c r="E126" t="inlineStr"/>
      <c r="F126" t="inlineStr">
        <is>
          <t>متنوع</t>
        </is>
      </c>
      <c r="G126" t="inlineStr"/>
      <c r="H126" t="inlineStr">
        <is>
          <t>1,000.00</t>
        </is>
      </c>
      <c r="I126" t="inlineStr">
        <is>
          <t>أدوات صحية</t>
        </is>
      </c>
    </row>
    <row r="127">
      <c r="A127">
        <f>IMAGE("https://files.manuscdn.com/user_upload_by_module/session_file/310519663766182518/UbdQeqwpjGrPAcwD.png")</f>
        <v/>
      </c>
      <c r="B127" t="inlineStr">
        <is>
          <t>product_page021_item05</t>
        </is>
      </c>
      <c r="C127" t="inlineStr">
        <is>
          <t>Blocko</t>
        </is>
      </c>
      <c r="D127" t="inlineStr">
        <is>
          <t>N/A</t>
        </is>
      </c>
      <c r="E127" t="inlineStr"/>
      <c r="F127" t="inlineStr">
        <is>
          <t>متنوع</t>
        </is>
      </c>
      <c r="G127" t="inlineStr"/>
      <c r="H127" t="inlineStr">
        <is>
          <t>1,000.00</t>
        </is>
      </c>
      <c r="I127" t="inlineStr">
        <is>
          <t>أدوات صحية</t>
        </is>
      </c>
    </row>
    <row r="128">
      <c r="A128">
        <f>IMAGE("https://files.manuscdn.com/user_upload_by_module/session_file/310519663766182518/BRghkWontzhOmBgT.png")</f>
        <v/>
      </c>
      <c r="B128" t="inlineStr">
        <is>
          <t>product_page022_item00</t>
        </is>
      </c>
      <c r="C128" t="inlineStr">
        <is>
          <t>Blocko</t>
        </is>
      </c>
      <c r="D128" t="inlineStr">
        <is>
          <t>N/A</t>
        </is>
      </c>
      <c r="E128" t="inlineStr"/>
      <c r="F128" t="inlineStr">
        <is>
          <t>متنوع</t>
        </is>
      </c>
      <c r="G128" t="inlineStr"/>
      <c r="H128" t="inlineStr">
        <is>
          <t>1,000.00</t>
        </is>
      </c>
      <c r="I128" t="inlineStr">
        <is>
          <t>أدوات صحية</t>
        </is>
      </c>
    </row>
    <row r="129">
      <c r="A129">
        <f>IMAGE("https://files.manuscdn.com/user_upload_by_module/session_file/310519663766182518/mKBWaBYgNnKDGeoA.png")</f>
        <v/>
      </c>
      <c r="B129" t="inlineStr">
        <is>
          <t>product_page022_item01</t>
        </is>
      </c>
      <c r="C129" t="inlineStr">
        <is>
          <t>Blocko</t>
        </is>
      </c>
      <c r="D129" t="inlineStr">
        <is>
          <t>N/A</t>
        </is>
      </c>
      <c r="E129" t="inlineStr"/>
      <c r="F129" t="inlineStr">
        <is>
          <t>متنوع</t>
        </is>
      </c>
      <c r="G129" t="inlineStr"/>
      <c r="H129" t="inlineStr">
        <is>
          <t>1,000.00</t>
        </is>
      </c>
      <c r="I129" t="inlineStr">
        <is>
          <t>أدوات صحية</t>
        </is>
      </c>
    </row>
    <row r="130">
      <c r="A130">
        <f>IMAGE("https://files.manuscdn.com/user_upload_by_module/session_file/310519663766182518/BVVkJKHyyhddPsKL.png")</f>
        <v/>
      </c>
      <c r="B130" t="inlineStr">
        <is>
          <t>product_page022_item02</t>
        </is>
      </c>
      <c r="C130" t="inlineStr">
        <is>
          <t>Blocko</t>
        </is>
      </c>
      <c r="D130" t="inlineStr">
        <is>
          <t>N/A</t>
        </is>
      </c>
      <c r="E130" t="inlineStr"/>
      <c r="F130" t="inlineStr">
        <is>
          <t>متنوع</t>
        </is>
      </c>
      <c r="G130" t="inlineStr"/>
      <c r="H130" t="inlineStr">
        <is>
          <t>1,000.00</t>
        </is>
      </c>
      <c r="I130" t="inlineStr">
        <is>
          <t>أدوات صحية</t>
        </is>
      </c>
    </row>
    <row r="131">
      <c r="A131">
        <f>IMAGE("https://files.manuscdn.com/user_upload_by_module/session_file/310519663766182518/IOTpQSgUxujqgzZq.png")</f>
        <v/>
      </c>
      <c r="B131" t="inlineStr">
        <is>
          <t>product_page022_item03</t>
        </is>
      </c>
      <c r="C131" t="inlineStr">
        <is>
          <t>Blocko</t>
        </is>
      </c>
      <c r="D131" t="inlineStr">
        <is>
          <t>N/A</t>
        </is>
      </c>
      <c r="E131" t="inlineStr"/>
      <c r="F131" t="inlineStr">
        <is>
          <t>متنوع</t>
        </is>
      </c>
      <c r="G131" t="inlineStr"/>
      <c r="H131" t="inlineStr">
        <is>
          <t>1,000.00</t>
        </is>
      </c>
      <c r="I131" t="inlineStr">
        <is>
          <t>أدوات صحية</t>
        </is>
      </c>
    </row>
    <row r="132">
      <c r="A132">
        <f>IMAGE("https://files.manuscdn.com/user_upload_by_module/session_file/310519663766182518/OUMwvEzZXhhBNvgA.png")</f>
        <v/>
      </c>
      <c r="B132" t="inlineStr">
        <is>
          <t>product_page023_item00</t>
        </is>
      </c>
      <c r="C132" t="inlineStr">
        <is>
          <t>Blocko</t>
        </is>
      </c>
      <c r="D132" t="inlineStr">
        <is>
          <t>N/A</t>
        </is>
      </c>
      <c r="E132" t="inlineStr"/>
      <c r="F132" t="inlineStr">
        <is>
          <t>متنوع</t>
        </is>
      </c>
      <c r="G132" t="inlineStr"/>
      <c r="H132" t="inlineStr">
        <is>
          <t>1,000.00</t>
        </is>
      </c>
      <c r="I132" t="inlineStr">
        <is>
          <t>أدوات صحية</t>
        </is>
      </c>
    </row>
    <row r="133">
      <c r="A133">
        <f>IMAGE("https://files.manuscdn.com/user_upload_by_module/session_file/310519663766182518/hVzbVdGLIaWmQbqz.png")</f>
        <v/>
      </c>
      <c r="B133" t="inlineStr">
        <is>
          <t>product_page023_item01</t>
        </is>
      </c>
      <c r="C133" t="inlineStr">
        <is>
          <t>Blocko</t>
        </is>
      </c>
      <c r="D133" t="inlineStr">
        <is>
          <t>N/A</t>
        </is>
      </c>
      <c r="E133" t="inlineStr"/>
      <c r="F133" t="inlineStr">
        <is>
          <t>متنوع</t>
        </is>
      </c>
      <c r="G133" t="inlineStr"/>
      <c r="H133" t="inlineStr">
        <is>
          <t>1,000.00</t>
        </is>
      </c>
      <c r="I133" t="inlineStr">
        <is>
          <t>أدوات صحية</t>
        </is>
      </c>
    </row>
    <row r="134">
      <c r="A134">
        <f>IMAGE("https://files.manuscdn.com/user_upload_by_module/session_file/310519663766182518/fhTsRHBQvEsZLsRU.png")</f>
        <v/>
      </c>
      <c r="B134" t="inlineStr">
        <is>
          <t>product_page023_item02</t>
        </is>
      </c>
      <c r="C134" t="inlineStr">
        <is>
          <t>Blocko</t>
        </is>
      </c>
      <c r="D134" t="inlineStr">
        <is>
          <t>N/A</t>
        </is>
      </c>
      <c r="E134" t="inlineStr"/>
      <c r="F134" t="inlineStr">
        <is>
          <t>متنوع</t>
        </is>
      </c>
      <c r="G134" t="inlineStr"/>
      <c r="H134" t="inlineStr">
        <is>
          <t>1,000.00</t>
        </is>
      </c>
      <c r="I134" t="inlineStr">
        <is>
          <t>أدوات صحية</t>
        </is>
      </c>
    </row>
    <row r="135">
      <c r="A135">
        <f>IMAGE("https://files.manuscdn.com/user_upload_by_module/session_file/310519663766182518/sUYrwMQjZlXtINxF.png")</f>
        <v/>
      </c>
      <c r="B135" t="inlineStr">
        <is>
          <t>product_page023_item03</t>
        </is>
      </c>
      <c r="C135" t="inlineStr">
        <is>
          <t>Blocko</t>
        </is>
      </c>
      <c r="D135" t="inlineStr">
        <is>
          <t>N/A</t>
        </is>
      </c>
      <c r="E135" t="inlineStr"/>
      <c r="F135" t="inlineStr">
        <is>
          <t>متنوع</t>
        </is>
      </c>
      <c r="G135" t="inlineStr"/>
      <c r="H135" t="inlineStr">
        <is>
          <t>1,000.00</t>
        </is>
      </c>
      <c r="I135" t="inlineStr">
        <is>
          <t>أدوات صحية</t>
        </is>
      </c>
    </row>
    <row r="136">
      <c r="A136">
        <f>IMAGE("https://files.manuscdn.com/user_upload_by_module/session_file/310519663766182518/HcosKturqUSMtDSz.png")</f>
        <v/>
      </c>
      <c r="B136" t="inlineStr">
        <is>
          <t>product_page023_item04</t>
        </is>
      </c>
      <c r="C136" t="inlineStr">
        <is>
          <t>Blocko</t>
        </is>
      </c>
      <c r="D136" t="inlineStr">
        <is>
          <t>N/A</t>
        </is>
      </c>
      <c r="E136" t="inlineStr"/>
      <c r="F136" t="inlineStr">
        <is>
          <t>متنوع</t>
        </is>
      </c>
      <c r="G136" t="inlineStr"/>
      <c r="H136" t="inlineStr">
        <is>
          <t>1,000.00</t>
        </is>
      </c>
      <c r="I136" t="inlineStr">
        <is>
          <t>أدوات صحية</t>
        </is>
      </c>
    </row>
    <row r="137">
      <c r="A137">
        <f>IMAGE("https://files.manuscdn.com/user_upload_by_module/session_file/310519663766182518/PJHVJPRxjgeWNgpR.png")</f>
        <v/>
      </c>
      <c r="B137" t="inlineStr">
        <is>
          <t>product_page023_item05</t>
        </is>
      </c>
      <c r="C137" t="inlineStr">
        <is>
          <t>Blocko</t>
        </is>
      </c>
      <c r="D137" t="inlineStr">
        <is>
          <t>N/A</t>
        </is>
      </c>
      <c r="E137" t="inlineStr"/>
      <c r="F137" t="inlineStr">
        <is>
          <t>متنوع</t>
        </is>
      </c>
      <c r="G137" t="inlineStr"/>
      <c r="H137" t="inlineStr">
        <is>
          <t>1,000.00</t>
        </is>
      </c>
      <c r="I137" t="inlineStr">
        <is>
          <t>أدوات صحية</t>
        </is>
      </c>
    </row>
    <row r="138">
      <c r="A138">
        <f>IMAGE("https://files.manuscdn.com/user_upload_by_module/session_file/310519663766182518/JOausxGSFnvbyjke.png")</f>
        <v/>
      </c>
      <c r="B138" t="inlineStr">
        <is>
          <t>product_page023_item06</t>
        </is>
      </c>
      <c r="C138" t="inlineStr">
        <is>
          <t>Blocko</t>
        </is>
      </c>
      <c r="D138" t="inlineStr">
        <is>
          <t>N/A</t>
        </is>
      </c>
      <c r="E138" t="inlineStr"/>
      <c r="F138" t="inlineStr">
        <is>
          <t>متنوع</t>
        </is>
      </c>
      <c r="G138" t="inlineStr"/>
      <c r="H138" t="inlineStr">
        <is>
          <t>1,000.00</t>
        </is>
      </c>
      <c r="I138" t="inlineStr">
        <is>
          <t>أدوات صحية</t>
        </is>
      </c>
    </row>
    <row r="139">
      <c r="A139">
        <f>IMAGE("https://files.manuscdn.com/user_upload_by_module/session_file/310519663766182518/iVWlfbopeFBAztiZ.png")</f>
        <v/>
      </c>
      <c r="B139" t="inlineStr">
        <is>
          <t>product_page023_item07</t>
        </is>
      </c>
      <c r="C139" t="inlineStr">
        <is>
          <t>Blocko</t>
        </is>
      </c>
      <c r="D139" t="inlineStr">
        <is>
          <t>N/A</t>
        </is>
      </c>
      <c r="E139" t="inlineStr"/>
      <c r="F139" t="inlineStr">
        <is>
          <t>متنوع</t>
        </is>
      </c>
      <c r="G139" t="inlineStr"/>
      <c r="H139" t="inlineStr">
        <is>
          <t>1,000.00</t>
        </is>
      </c>
      <c r="I139" t="inlineStr">
        <is>
          <t>أدوات صحية</t>
        </is>
      </c>
    </row>
    <row r="140">
      <c r="A140">
        <f>IMAGE("https://files.manuscdn.com/user_upload_by_module/session_file/310519663766182518/MGcfgjoljEwQbVIi.png")</f>
        <v/>
      </c>
      <c r="B140" t="inlineStr">
        <is>
          <t>product_page024_item00</t>
        </is>
      </c>
      <c r="C140" t="inlineStr">
        <is>
          <t>Blocko</t>
        </is>
      </c>
      <c r="D140" t="inlineStr">
        <is>
          <t>N/A</t>
        </is>
      </c>
      <c r="E140" t="inlineStr"/>
      <c r="F140" t="inlineStr">
        <is>
          <t>متنوع</t>
        </is>
      </c>
      <c r="G140" t="inlineStr"/>
      <c r="H140" t="inlineStr">
        <is>
          <t>1,000.00</t>
        </is>
      </c>
      <c r="I140" t="inlineStr">
        <is>
          <t>أدوات صحية</t>
        </is>
      </c>
    </row>
    <row r="141">
      <c r="A141">
        <f>IMAGE("https://files.manuscdn.com/user_upload_by_module/session_file/310519663766182518/pxuoYihYPCwSMOLD.png")</f>
        <v/>
      </c>
      <c r="B141" t="inlineStr">
        <is>
          <t>product_page024_item01</t>
        </is>
      </c>
      <c r="C141" t="inlineStr">
        <is>
          <t>Blocko</t>
        </is>
      </c>
      <c r="D141" t="inlineStr">
        <is>
          <t>N/A</t>
        </is>
      </c>
      <c r="E141" t="inlineStr"/>
      <c r="F141" t="inlineStr">
        <is>
          <t>متنوع</t>
        </is>
      </c>
      <c r="G141" t="inlineStr"/>
      <c r="H141" t="inlineStr">
        <is>
          <t>1,000.00</t>
        </is>
      </c>
      <c r="I141" t="inlineStr">
        <is>
          <t>أدوات صحية</t>
        </is>
      </c>
    </row>
    <row r="142">
      <c r="A142">
        <f>IMAGE("https://files.manuscdn.com/user_upload_by_module/session_file/310519663766182518/DaAeVLsAHYKHFGnM.png")</f>
        <v/>
      </c>
      <c r="B142" t="inlineStr">
        <is>
          <t>product_page024_item02</t>
        </is>
      </c>
      <c r="C142" t="inlineStr">
        <is>
          <t>Blocko</t>
        </is>
      </c>
      <c r="D142" t="inlineStr">
        <is>
          <t>N/A</t>
        </is>
      </c>
      <c r="E142" t="inlineStr"/>
      <c r="F142" t="inlineStr">
        <is>
          <t>متنوع</t>
        </is>
      </c>
      <c r="G142" t="inlineStr"/>
      <c r="H142" t="inlineStr">
        <is>
          <t>1,000.00</t>
        </is>
      </c>
      <c r="I142" t="inlineStr">
        <is>
          <t>أدوات صحية</t>
        </is>
      </c>
    </row>
    <row r="143">
      <c r="A143">
        <f>IMAGE("https://files.manuscdn.com/user_upload_by_module/session_file/310519663766182518/LGKuopHWolYFKQXn.png")</f>
        <v/>
      </c>
      <c r="B143" t="inlineStr">
        <is>
          <t>product_page024_item03</t>
        </is>
      </c>
      <c r="C143" t="inlineStr">
        <is>
          <t>Blocko</t>
        </is>
      </c>
      <c r="D143" t="inlineStr">
        <is>
          <t>N/A</t>
        </is>
      </c>
      <c r="E143" t="inlineStr"/>
      <c r="F143" t="inlineStr">
        <is>
          <t>متنوع</t>
        </is>
      </c>
      <c r="G143" t="inlineStr"/>
      <c r="H143" t="inlineStr">
        <is>
          <t>1,000.00</t>
        </is>
      </c>
      <c r="I143" t="inlineStr">
        <is>
          <t>أدوات صحية</t>
        </is>
      </c>
    </row>
    <row r="144">
      <c r="A144">
        <f>IMAGE("https://files.manuscdn.com/user_upload_by_module/session_file/310519663766182518/DaYPWNadvvLqkiZY.png")</f>
        <v/>
      </c>
      <c r="B144" t="inlineStr">
        <is>
          <t>product_page024_item04</t>
        </is>
      </c>
      <c r="C144" t="inlineStr">
        <is>
          <t>Blocko</t>
        </is>
      </c>
      <c r="D144" t="inlineStr">
        <is>
          <t>N/A</t>
        </is>
      </c>
      <c r="E144" t="inlineStr"/>
      <c r="F144" t="inlineStr">
        <is>
          <t>متنوع</t>
        </is>
      </c>
      <c r="G144" t="inlineStr"/>
      <c r="H144" t="inlineStr">
        <is>
          <t>1,000.00</t>
        </is>
      </c>
      <c r="I144" t="inlineStr">
        <is>
          <t>أدوات صحية</t>
        </is>
      </c>
    </row>
    <row r="145">
      <c r="A145">
        <f>IMAGE("https://files.manuscdn.com/user_upload_by_module/session_file/310519663766182518/SNDbMSSKAmlNAYUw.png")</f>
        <v/>
      </c>
      <c r="B145" t="inlineStr">
        <is>
          <t>product_page024_item05</t>
        </is>
      </c>
      <c r="C145" t="inlineStr">
        <is>
          <t>Blocko</t>
        </is>
      </c>
      <c r="D145" t="inlineStr">
        <is>
          <t>N/A</t>
        </is>
      </c>
      <c r="E145" t="inlineStr"/>
      <c r="F145" t="inlineStr">
        <is>
          <t>متنوع</t>
        </is>
      </c>
      <c r="G145" t="inlineStr"/>
      <c r="H145" t="inlineStr">
        <is>
          <t>1,000.00</t>
        </is>
      </c>
      <c r="I145" t="inlineStr">
        <is>
          <t>أدوات صحية</t>
        </is>
      </c>
    </row>
    <row r="146">
      <c r="A146">
        <f>IMAGE("https://files.manuscdn.com/user_upload_by_module/session_file/310519663766182518/WLNNrrYaLacNcQxe.png")</f>
        <v/>
      </c>
      <c r="B146" t="inlineStr">
        <is>
          <t>product_page025_item00</t>
        </is>
      </c>
      <c r="C146" t="inlineStr">
        <is>
          <t>Blocko</t>
        </is>
      </c>
      <c r="D146" t="inlineStr">
        <is>
          <t>N/A</t>
        </is>
      </c>
      <c r="E146" t="inlineStr"/>
      <c r="F146" t="inlineStr">
        <is>
          <t>متنوع</t>
        </is>
      </c>
      <c r="G146" t="inlineStr"/>
      <c r="H146" t="inlineStr">
        <is>
          <t>1,000.00</t>
        </is>
      </c>
      <c r="I146" t="inlineStr">
        <is>
          <t>أدوات صحية</t>
        </is>
      </c>
    </row>
    <row r="147">
      <c r="A147">
        <f>IMAGE("https://files.manuscdn.com/user_upload_by_module/session_file/310519663766182518/bypgobTOepORWUEn.png")</f>
        <v/>
      </c>
      <c r="B147" t="inlineStr">
        <is>
          <t>product_page025_item02</t>
        </is>
      </c>
      <c r="C147" t="inlineStr">
        <is>
          <t>Blocko</t>
        </is>
      </c>
      <c r="D147" t="inlineStr">
        <is>
          <t>N/A</t>
        </is>
      </c>
      <c r="E147" t="inlineStr"/>
      <c r="F147" t="inlineStr">
        <is>
          <t>متنوع</t>
        </is>
      </c>
      <c r="G147" t="inlineStr"/>
      <c r="H147" t="inlineStr">
        <is>
          <t>1,000.00</t>
        </is>
      </c>
      <c r="I147" t="inlineStr">
        <is>
          <t>أدوات صحية</t>
        </is>
      </c>
    </row>
    <row r="148">
      <c r="A148">
        <f>IMAGE("https://files.manuscdn.com/user_upload_by_module/session_file/310519663766182518/YxnQHrSHxaUciOGg.png")</f>
        <v/>
      </c>
      <c r="B148" t="inlineStr">
        <is>
          <t>product_page025_item03</t>
        </is>
      </c>
      <c r="C148" t="inlineStr">
        <is>
          <t>Blocko</t>
        </is>
      </c>
      <c r="D148" t="inlineStr">
        <is>
          <t>N/A</t>
        </is>
      </c>
      <c r="E148" t="inlineStr"/>
      <c r="F148" t="inlineStr">
        <is>
          <t>متنوع</t>
        </is>
      </c>
      <c r="G148" t="inlineStr"/>
      <c r="H148" t="inlineStr">
        <is>
          <t>1,000.00</t>
        </is>
      </c>
      <c r="I148" t="inlineStr">
        <is>
          <t>أدوات صحية</t>
        </is>
      </c>
    </row>
    <row r="149">
      <c r="A149">
        <f>IMAGE("https://files.manuscdn.com/user_upload_by_module/session_file/310519663766182518/NfMPoQkkJHICJkXP.png")</f>
        <v/>
      </c>
      <c r="B149" t="inlineStr">
        <is>
          <t>product_page025_item04</t>
        </is>
      </c>
      <c r="C149" t="inlineStr">
        <is>
          <t>Blocko</t>
        </is>
      </c>
      <c r="D149" t="inlineStr">
        <is>
          <t>N/A</t>
        </is>
      </c>
      <c r="E149" t="inlineStr"/>
      <c r="F149" t="inlineStr">
        <is>
          <t>متنوع</t>
        </is>
      </c>
      <c r="G149" t="inlineStr"/>
      <c r="H149" t="inlineStr">
        <is>
          <t>1,000.00</t>
        </is>
      </c>
      <c r="I149" t="inlineStr">
        <is>
          <t>أدوات صحية</t>
        </is>
      </c>
    </row>
    <row r="150">
      <c r="A150">
        <f>IMAGE("https://files.manuscdn.com/user_upload_by_module/session_file/310519663766182518/RWhFbxMTjvRirYzq.png")</f>
        <v/>
      </c>
      <c r="B150" t="inlineStr">
        <is>
          <t>product_page025_item05</t>
        </is>
      </c>
      <c r="C150" t="inlineStr">
        <is>
          <t>Blocko</t>
        </is>
      </c>
      <c r="D150" t="inlineStr">
        <is>
          <t>N/A</t>
        </is>
      </c>
      <c r="E150" t="inlineStr"/>
      <c r="F150" t="inlineStr">
        <is>
          <t>متنوع</t>
        </is>
      </c>
      <c r="G150" t="inlineStr"/>
      <c r="H150" t="inlineStr">
        <is>
          <t>1,000.00</t>
        </is>
      </c>
      <c r="I150" t="inlineStr">
        <is>
          <t>أدوات صحية</t>
        </is>
      </c>
    </row>
    <row r="151">
      <c r="A151">
        <f>IMAGE("https://files.manuscdn.com/user_upload_by_module/session_file/310519663766182518/tRqRkSDYIjNLuPJm.png")</f>
        <v/>
      </c>
      <c r="B151" t="inlineStr">
        <is>
          <t>product_page025_item06</t>
        </is>
      </c>
      <c r="C151" t="inlineStr">
        <is>
          <t>Blocko</t>
        </is>
      </c>
      <c r="D151" t="inlineStr">
        <is>
          <t>N/A</t>
        </is>
      </c>
      <c r="E151" t="inlineStr"/>
      <c r="F151" t="inlineStr">
        <is>
          <t>متنوع</t>
        </is>
      </c>
      <c r="G151" t="inlineStr"/>
      <c r="H151" t="inlineStr">
        <is>
          <t>1,000.00</t>
        </is>
      </c>
      <c r="I151" t="inlineStr">
        <is>
          <t>أدوات صحية</t>
        </is>
      </c>
    </row>
    <row r="152">
      <c r="A152">
        <f>IMAGE("https://files.manuscdn.com/user_upload_by_module/session_file/310519663766182518/BaymyshFvNGMlGWl.png")</f>
        <v/>
      </c>
      <c r="B152" t="inlineStr">
        <is>
          <t>product_page025_item07</t>
        </is>
      </c>
      <c r="C152" t="inlineStr">
        <is>
          <t>Blocko</t>
        </is>
      </c>
      <c r="D152" t="inlineStr">
        <is>
          <t>N/A</t>
        </is>
      </c>
      <c r="E152" t="inlineStr"/>
      <c r="F152" t="inlineStr">
        <is>
          <t>متنوع</t>
        </is>
      </c>
      <c r="G152" t="inlineStr"/>
      <c r="H152" t="inlineStr">
        <is>
          <t>1,000.00</t>
        </is>
      </c>
      <c r="I152" t="inlineStr">
        <is>
          <t>أدوات صحية</t>
        </is>
      </c>
    </row>
    <row r="153">
      <c r="A153">
        <f>IMAGE("https://files.manuscdn.com/user_upload_by_module/session_file/310519663766182518/QsOMomWMMOuTMbZx.png")</f>
        <v/>
      </c>
      <c r="B153" t="inlineStr">
        <is>
          <t>product_page026_item00</t>
        </is>
      </c>
      <c r="C153" t="inlineStr">
        <is>
          <t>Blocko</t>
        </is>
      </c>
      <c r="D153" t="inlineStr">
        <is>
          <t>N/A</t>
        </is>
      </c>
      <c r="E153" t="inlineStr"/>
      <c r="F153" t="inlineStr">
        <is>
          <t>متنوع</t>
        </is>
      </c>
      <c r="G153" t="inlineStr"/>
      <c r="H153" t="inlineStr">
        <is>
          <t>1,000.00</t>
        </is>
      </c>
      <c r="I153" t="inlineStr">
        <is>
          <t>أدوات صحية</t>
        </is>
      </c>
    </row>
    <row r="154">
      <c r="A154">
        <f>IMAGE("https://files.manuscdn.com/user_upload_by_module/session_file/310519663766182518/wOhBXezVEvVqVCUz.png")</f>
        <v/>
      </c>
      <c r="B154" t="inlineStr">
        <is>
          <t>product_page026_item01</t>
        </is>
      </c>
      <c r="C154" t="inlineStr">
        <is>
          <t>Blocko</t>
        </is>
      </c>
      <c r="D154" t="inlineStr">
        <is>
          <t>N/A</t>
        </is>
      </c>
      <c r="E154" t="inlineStr"/>
      <c r="F154" t="inlineStr">
        <is>
          <t>متنوع</t>
        </is>
      </c>
      <c r="G154" t="inlineStr"/>
      <c r="H154" t="inlineStr">
        <is>
          <t>1,000.00</t>
        </is>
      </c>
      <c r="I154" t="inlineStr">
        <is>
          <t>أدوات صحية</t>
        </is>
      </c>
    </row>
    <row r="155">
      <c r="A155">
        <f>IMAGE("https://files.manuscdn.com/user_upload_by_module/session_file/310519663766182518/kHSBbwIfqZyRXacy.png")</f>
        <v/>
      </c>
      <c r="B155" t="inlineStr">
        <is>
          <t>product_page026_item02</t>
        </is>
      </c>
      <c r="C155" t="inlineStr">
        <is>
          <t>Blocko</t>
        </is>
      </c>
      <c r="D155" t="inlineStr">
        <is>
          <t>N/A</t>
        </is>
      </c>
      <c r="E155" t="inlineStr"/>
      <c r="F155" t="inlineStr">
        <is>
          <t>متنوع</t>
        </is>
      </c>
      <c r="G155" t="inlineStr"/>
      <c r="H155" t="inlineStr">
        <is>
          <t>1,000.00</t>
        </is>
      </c>
      <c r="I155" t="inlineStr">
        <is>
          <t>أدوات صحية</t>
        </is>
      </c>
    </row>
    <row r="156">
      <c r="A156">
        <f>IMAGE("https://files.manuscdn.com/user_upload_by_module/session_file/310519663766182518/QQrEAfFdjKZsbzPP.png")</f>
        <v/>
      </c>
      <c r="B156" t="inlineStr">
        <is>
          <t>product_page026_item03</t>
        </is>
      </c>
      <c r="C156" t="inlineStr">
        <is>
          <t>Blocko</t>
        </is>
      </c>
      <c r="D156" t="inlineStr">
        <is>
          <t>N/A</t>
        </is>
      </c>
      <c r="E156" t="inlineStr"/>
      <c r="F156" t="inlineStr">
        <is>
          <t>متنوع</t>
        </is>
      </c>
      <c r="G156" t="inlineStr"/>
      <c r="H156" t="inlineStr">
        <is>
          <t>1,000.00</t>
        </is>
      </c>
      <c r="I156" t="inlineStr">
        <is>
          <t>أدوات صحية</t>
        </is>
      </c>
    </row>
    <row r="157">
      <c r="A157">
        <f>IMAGE("https://files.manuscdn.com/user_upload_by_module/session_file/310519663766182518/iipoJGAvPGcYowsp.png")</f>
        <v/>
      </c>
      <c r="B157" t="inlineStr">
        <is>
          <t>product_page026_item04</t>
        </is>
      </c>
      <c r="C157" t="inlineStr">
        <is>
          <t>Blocko</t>
        </is>
      </c>
      <c r="D157" t="inlineStr">
        <is>
          <t>N/A</t>
        </is>
      </c>
      <c r="E157" t="inlineStr"/>
      <c r="F157" t="inlineStr">
        <is>
          <t>متنوع</t>
        </is>
      </c>
      <c r="G157" t="inlineStr"/>
      <c r="H157" t="inlineStr">
        <is>
          <t>1,000.00</t>
        </is>
      </c>
      <c r="I157" t="inlineStr">
        <is>
          <t>أدوات صحية</t>
        </is>
      </c>
    </row>
    <row r="158">
      <c r="A158">
        <f>IMAGE("https://files.manuscdn.com/user_upload_by_module/session_file/310519663766182518/VGWXCFLOJUtWpWjL.png")</f>
        <v/>
      </c>
      <c r="B158" t="inlineStr">
        <is>
          <t>product_page026_item05</t>
        </is>
      </c>
      <c r="C158" t="inlineStr">
        <is>
          <t>Blocko</t>
        </is>
      </c>
      <c r="D158" t="inlineStr">
        <is>
          <t>N/A</t>
        </is>
      </c>
      <c r="E158" t="inlineStr"/>
      <c r="F158" t="inlineStr">
        <is>
          <t>متنوع</t>
        </is>
      </c>
      <c r="G158" t="inlineStr"/>
      <c r="H158" t="inlineStr">
        <is>
          <t>1,000.00</t>
        </is>
      </c>
      <c r="I158" t="inlineStr">
        <is>
          <t>أدوات صحية</t>
        </is>
      </c>
    </row>
    <row r="159">
      <c r="A159">
        <f>IMAGE("https://files.manuscdn.com/user_upload_by_module/session_file/310519663766182518/oQOdYLzPreVbmaJN.png")</f>
        <v/>
      </c>
      <c r="B159" t="inlineStr">
        <is>
          <t>product_page027_item00</t>
        </is>
      </c>
      <c r="C159" t="inlineStr">
        <is>
          <t>Blocko</t>
        </is>
      </c>
      <c r="D159" t="inlineStr">
        <is>
          <t>N/A</t>
        </is>
      </c>
      <c r="E159" t="inlineStr"/>
      <c r="F159" t="inlineStr">
        <is>
          <t>متنوع</t>
        </is>
      </c>
      <c r="G159" t="inlineStr"/>
      <c r="H159" t="inlineStr">
        <is>
          <t>1,000.00</t>
        </is>
      </c>
      <c r="I159" t="inlineStr">
        <is>
          <t>أدوات صحية</t>
        </is>
      </c>
    </row>
    <row r="160">
      <c r="A160">
        <f>IMAGE("https://files.manuscdn.com/user_upload_by_module/session_file/310519663766182518/WndnwgsXYAbMVvVY.png")</f>
        <v/>
      </c>
      <c r="B160" t="inlineStr">
        <is>
          <t>product_page027_item01</t>
        </is>
      </c>
      <c r="C160" t="inlineStr">
        <is>
          <t>Blocko</t>
        </is>
      </c>
      <c r="D160" t="inlineStr">
        <is>
          <t>N/A</t>
        </is>
      </c>
      <c r="E160" t="inlineStr"/>
      <c r="F160" t="inlineStr">
        <is>
          <t>متنوع</t>
        </is>
      </c>
      <c r="G160" t="inlineStr"/>
      <c r="H160" t="inlineStr">
        <is>
          <t>1,000.00</t>
        </is>
      </c>
      <c r="I160" t="inlineStr">
        <is>
          <t>أدوات صحية</t>
        </is>
      </c>
    </row>
    <row r="161">
      <c r="A161">
        <f>IMAGE("https://files.manuscdn.com/user_upload_by_module/session_file/310519663766182518/LXfmhOrZCdbRVnWD.png")</f>
        <v/>
      </c>
      <c r="B161" t="inlineStr">
        <is>
          <t>product_page027_item02</t>
        </is>
      </c>
      <c r="C161" t="inlineStr">
        <is>
          <t>Blocko</t>
        </is>
      </c>
      <c r="D161" t="inlineStr">
        <is>
          <t>N/A</t>
        </is>
      </c>
      <c r="E161" t="inlineStr"/>
      <c r="F161" t="inlineStr">
        <is>
          <t>متنوع</t>
        </is>
      </c>
      <c r="G161" t="inlineStr"/>
      <c r="H161" t="inlineStr">
        <is>
          <t>1,000.00</t>
        </is>
      </c>
      <c r="I161" t="inlineStr">
        <is>
          <t>أدوات صحية</t>
        </is>
      </c>
    </row>
    <row r="162">
      <c r="A162">
        <f>IMAGE("https://files.manuscdn.com/user_upload_by_module/session_file/310519663766182518/yzCLXwOgABXihEYg.png")</f>
        <v/>
      </c>
      <c r="B162" t="inlineStr">
        <is>
          <t>product_page027_item03</t>
        </is>
      </c>
      <c r="C162" t="inlineStr">
        <is>
          <t>Blocko</t>
        </is>
      </c>
      <c r="D162" t="inlineStr">
        <is>
          <t>N/A</t>
        </is>
      </c>
      <c r="E162" t="inlineStr"/>
      <c r="F162" t="inlineStr">
        <is>
          <t>متنوع</t>
        </is>
      </c>
      <c r="G162" t="inlineStr"/>
      <c r="H162" t="inlineStr">
        <is>
          <t>1,000.00</t>
        </is>
      </c>
      <c r="I162" t="inlineStr">
        <is>
          <t>أدوات صحية</t>
        </is>
      </c>
    </row>
    <row r="163">
      <c r="A163">
        <f>IMAGE("https://files.manuscdn.com/user_upload_by_module/session_file/310519663766182518/MliBqUNCopVCeDJA.png")</f>
        <v/>
      </c>
      <c r="B163" t="inlineStr">
        <is>
          <t>product_page028_item00</t>
        </is>
      </c>
      <c r="C163" t="inlineStr">
        <is>
          <t>Blocko</t>
        </is>
      </c>
      <c r="D163" t="inlineStr">
        <is>
          <t>N/A</t>
        </is>
      </c>
      <c r="E163" t="inlineStr"/>
      <c r="F163" t="inlineStr">
        <is>
          <t>متنوع</t>
        </is>
      </c>
      <c r="G163" t="inlineStr"/>
      <c r="H163" t="inlineStr">
        <is>
          <t>1,000.00</t>
        </is>
      </c>
      <c r="I163" t="inlineStr">
        <is>
          <t>أدوات صحية</t>
        </is>
      </c>
    </row>
    <row r="164">
      <c r="A164">
        <f>IMAGE("https://files.manuscdn.com/user_upload_by_module/session_file/310519663766182518/oSGrUKNHOLGtnydZ.png")</f>
        <v/>
      </c>
      <c r="B164" t="inlineStr">
        <is>
          <t>product_page028_item01</t>
        </is>
      </c>
      <c r="C164" t="inlineStr">
        <is>
          <t>Blocko</t>
        </is>
      </c>
      <c r="D164" t="inlineStr">
        <is>
          <t>N/A</t>
        </is>
      </c>
      <c r="E164" t="inlineStr"/>
      <c r="F164" t="inlineStr">
        <is>
          <t>متنوع</t>
        </is>
      </c>
      <c r="G164" t="inlineStr"/>
      <c r="H164" t="inlineStr">
        <is>
          <t>1,000.00</t>
        </is>
      </c>
      <c r="I164" t="inlineStr">
        <is>
          <t>أدوات صحية</t>
        </is>
      </c>
    </row>
    <row r="165">
      <c r="A165">
        <f>IMAGE("https://files.manuscdn.com/user_upload_by_module/session_file/310519663766182518/yXegxOBAMJtknSNd.png")</f>
        <v/>
      </c>
      <c r="B165" t="inlineStr">
        <is>
          <t>product_page028_item02</t>
        </is>
      </c>
      <c r="C165" t="inlineStr">
        <is>
          <t>Blocko</t>
        </is>
      </c>
      <c r="D165" t="inlineStr">
        <is>
          <t>N/A</t>
        </is>
      </c>
      <c r="E165" t="inlineStr"/>
      <c r="F165" t="inlineStr">
        <is>
          <t>متنوع</t>
        </is>
      </c>
      <c r="G165" t="inlineStr"/>
      <c r="H165" t="inlineStr">
        <is>
          <t>1,000.00</t>
        </is>
      </c>
      <c r="I165" t="inlineStr">
        <is>
          <t>أدوات صحية</t>
        </is>
      </c>
    </row>
    <row r="166">
      <c r="A166">
        <f>IMAGE("https://files.manuscdn.com/user_upload_by_module/session_file/310519663766182518/XaCBbrPFVDVwvxjC.png")</f>
        <v/>
      </c>
      <c r="B166" t="inlineStr">
        <is>
          <t>product_page028_item03</t>
        </is>
      </c>
      <c r="C166" t="inlineStr">
        <is>
          <t>Blocko</t>
        </is>
      </c>
      <c r="D166" t="inlineStr">
        <is>
          <t>N/A</t>
        </is>
      </c>
      <c r="E166" t="inlineStr"/>
      <c r="F166" t="inlineStr">
        <is>
          <t>متنوع</t>
        </is>
      </c>
      <c r="G166" t="inlineStr"/>
      <c r="H166" t="inlineStr">
        <is>
          <t>1,000.00</t>
        </is>
      </c>
      <c r="I166" t="inlineStr">
        <is>
          <t>أدوات صحية</t>
        </is>
      </c>
    </row>
    <row r="167">
      <c r="A167">
        <f>IMAGE("https://files.manuscdn.com/user_upload_by_module/session_file/310519663766182518/dkXVLYsXzhgVVxBI.png")</f>
        <v/>
      </c>
      <c r="B167" t="inlineStr">
        <is>
          <t>product_page028_item04</t>
        </is>
      </c>
      <c r="C167" t="inlineStr">
        <is>
          <t>Blocko</t>
        </is>
      </c>
      <c r="D167" t="inlineStr">
        <is>
          <t>N/A</t>
        </is>
      </c>
      <c r="E167" t="inlineStr"/>
      <c r="F167" t="inlineStr">
        <is>
          <t>متنوع</t>
        </is>
      </c>
      <c r="G167" t="inlineStr"/>
      <c r="H167" t="inlineStr">
        <is>
          <t>1,000.00</t>
        </is>
      </c>
      <c r="I167" t="inlineStr">
        <is>
          <t>أدوات صحية</t>
        </is>
      </c>
    </row>
    <row r="168">
      <c r="A168">
        <f>IMAGE("https://files.manuscdn.com/user_upload_by_module/session_file/310519663766182518/plKjkStpaabZaHYo.png")</f>
        <v/>
      </c>
      <c r="B168" t="inlineStr">
        <is>
          <t>product_page028_item05</t>
        </is>
      </c>
      <c r="C168" t="inlineStr">
        <is>
          <t>Blocko</t>
        </is>
      </c>
      <c r="D168" t="inlineStr">
        <is>
          <t>N/A</t>
        </is>
      </c>
      <c r="E168" t="inlineStr"/>
      <c r="F168" t="inlineStr">
        <is>
          <t>متنوع</t>
        </is>
      </c>
      <c r="G168" t="inlineStr"/>
      <c r="H168" t="inlineStr">
        <is>
          <t>1,000.00</t>
        </is>
      </c>
      <c r="I168" t="inlineStr">
        <is>
          <t>أدوات صحية</t>
        </is>
      </c>
    </row>
    <row r="169">
      <c r="A169">
        <f>IMAGE("https://files.manuscdn.com/user_upload_by_module/session_file/310519663766182518/orUFhRzMNCbsVnpB.png")</f>
        <v/>
      </c>
      <c r="B169" t="inlineStr">
        <is>
          <t>product_page029_item00</t>
        </is>
      </c>
      <c r="C169" t="inlineStr">
        <is>
          <t>Blocko</t>
        </is>
      </c>
      <c r="D169" t="inlineStr">
        <is>
          <t>N/A</t>
        </is>
      </c>
      <c r="E169" t="inlineStr"/>
      <c r="F169" t="inlineStr">
        <is>
          <t>متنوع</t>
        </is>
      </c>
      <c r="G169" t="inlineStr"/>
      <c r="H169" t="inlineStr">
        <is>
          <t>1,000.00</t>
        </is>
      </c>
      <c r="I169" t="inlineStr">
        <is>
          <t>أدوات صحية</t>
        </is>
      </c>
    </row>
    <row r="170">
      <c r="A170">
        <f>IMAGE("https://files.manuscdn.com/user_upload_by_module/session_file/310519663766182518/yONwqZfTjTfhWeLQ.png")</f>
        <v/>
      </c>
      <c r="B170" t="inlineStr">
        <is>
          <t>product_page029_item01</t>
        </is>
      </c>
      <c r="C170" t="inlineStr">
        <is>
          <t>Blocko</t>
        </is>
      </c>
      <c r="D170" t="inlineStr">
        <is>
          <t>N/A</t>
        </is>
      </c>
      <c r="E170" t="inlineStr"/>
      <c r="F170" t="inlineStr">
        <is>
          <t>متنوع</t>
        </is>
      </c>
      <c r="G170" t="inlineStr"/>
      <c r="H170" t="inlineStr">
        <is>
          <t>1,000.00</t>
        </is>
      </c>
      <c r="I170" t="inlineStr">
        <is>
          <t>أدوات صحية</t>
        </is>
      </c>
    </row>
    <row r="171">
      <c r="A171">
        <f>IMAGE("https://files.manuscdn.com/user_upload_by_module/session_file/310519663766182518/KwwVIiANddQIJHAW.png")</f>
        <v/>
      </c>
      <c r="B171" t="inlineStr">
        <is>
          <t>product_page029_item02</t>
        </is>
      </c>
      <c r="C171" t="inlineStr">
        <is>
          <t>Blocko</t>
        </is>
      </c>
      <c r="D171" t="inlineStr">
        <is>
          <t>N/A</t>
        </is>
      </c>
      <c r="E171" t="inlineStr"/>
      <c r="F171" t="inlineStr">
        <is>
          <t>متنوع</t>
        </is>
      </c>
      <c r="G171" t="inlineStr"/>
      <c r="H171" t="inlineStr">
        <is>
          <t>1,000.00</t>
        </is>
      </c>
      <c r="I171" t="inlineStr">
        <is>
          <t>أدوات صحية</t>
        </is>
      </c>
    </row>
    <row r="172">
      <c r="A172">
        <f>IMAGE("https://files.manuscdn.com/user_upload_by_module/session_file/310519663766182518/qamCebTlrKLnMphX.png")</f>
        <v/>
      </c>
      <c r="B172" t="inlineStr">
        <is>
          <t>product_page029_item03</t>
        </is>
      </c>
      <c r="C172" t="inlineStr">
        <is>
          <t>Blocko</t>
        </is>
      </c>
      <c r="D172" t="inlineStr">
        <is>
          <t>N/A</t>
        </is>
      </c>
      <c r="E172" t="inlineStr"/>
      <c r="F172" t="inlineStr">
        <is>
          <t>متنوع</t>
        </is>
      </c>
      <c r="G172" t="inlineStr"/>
      <c r="H172" t="inlineStr">
        <is>
          <t>1,000.00</t>
        </is>
      </c>
      <c r="I172" t="inlineStr">
        <is>
          <t>أدوات صحية</t>
        </is>
      </c>
    </row>
    <row r="173">
      <c r="A173">
        <f>IMAGE("https://files.manuscdn.com/user_upload_by_module/session_file/310519663766182518/BvvZLCddBccLnwtq.png")</f>
        <v/>
      </c>
      <c r="B173" t="inlineStr">
        <is>
          <t>product_page029_item04</t>
        </is>
      </c>
      <c r="C173" t="inlineStr">
        <is>
          <t>Blocko</t>
        </is>
      </c>
      <c r="D173" t="inlineStr">
        <is>
          <t>N/A</t>
        </is>
      </c>
      <c r="E173" t="inlineStr"/>
      <c r="F173" t="inlineStr">
        <is>
          <t>متنوع</t>
        </is>
      </c>
      <c r="G173" t="inlineStr"/>
      <c r="H173" t="inlineStr">
        <is>
          <t>1,000.00</t>
        </is>
      </c>
      <c r="I173" t="inlineStr">
        <is>
          <t>أدوات صحية</t>
        </is>
      </c>
    </row>
    <row r="174">
      <c r="A174">
        <f>IMAGE("https://files.manuscdn.com/user_upload_by_module/session_file/310519663766182518/NSndFGWMCtpGqlZg.png")</f>
        <v/>
      </c>
      <c r="B174" t="inlineStr">
        <is>
          <t>product_page029_item05</t>
        </is>
      </c>
      <c r="C174" t="inlineStr">
        <is>
          <t>Blocko</t>
        </is>
      </c>
      <c r="D174" t="inlineStr">
        <is>
          <t>N/A</t>
        </is>
      </c>
      <c r="E174" t="inlineStr"/>
      <c r="F174" t="inlineStr">
        <is>
          <t>متنوع</t>
        </is>
      </c>
      <c r="G174" t="inlineStr"/>
      <c r="H174" t="inlineStr">
        <is>
          <t>1,000.00</t>
        </is>
      </c>
      <c r="I174" t="inlineStr">
        <is>
          <t>أدوات صحية</t>
        </is>
      </c>
    </row>
    <row r="175">
      <c r="A175">
        <f>IMAGE("https://files.manuscdn.com/user_upload_by_module/session_file/310519663766182518/FMPUEEUBcEyvitGr.png")</f>
        <v/>
      </c>
      <c r="B175" t="inlineStr">
        <is>
          <t>product_page029_item06</t>
        </is>
      </c>
      <c r="C175" t="inlineStr">
        <is>
          <t>Blocko</t>
        </is>
      </c>
      <c r="D175" t="inlineStr">
        <is>
          <t>N/A</t>
        </is>
      </c>
      <c r="E175" t="inlineStr"/>
      <c r="F175" t="inlineStr">
        <is>
          <t>متنوع</t>
        </is>
      </c>
      <c r="G175" t="inlineStr"/>
      <c r="H175" t="inlineStr">
        <is>
          <t>1,000.00</t>
        </is>
      </c>
      <c r="I175" t="inlineStr">
        <is>
          <t>أدوات صحية</t>
        </is>
      </c>
    </row>
    <row r="176">
      <c r="A176">
        <f>IMAGE("https://files.manuscdn.com/user_upload_by_module/session_file/310519663766182518/ouoaKgeESzPcJqji.png")</f>
        <v/>
      </c>
      <c r="B176" t="inlineStr">
        <is>
          <t>product_page029_item07</t>
        </is>
      </c>
      <c r="C176" t="inlineStr">
        <is>
          <t>Blocko</t>
        </is>
      </c>
      <c r="D176" t="inlineStr">
        <is>
          <t>N/A</t>
        </is>
      </c>
      <c r="E176" t="inlineStr"/>
      <c r="F176" t="inlineStr">
        <is>
          <t>متنوع</t>
        </is>
      </c>
      <c r="G176" t="inlineStr"/>
      <c r="H176" t="inlineStr">
        <is>
          <t>1,000.00</t>
        </is>
      </c>
      <c r="I176" t="inlineStr">
        <is>
          <t>أدوات صحية</t>
        </is>
      </c>
    </row>
    <row r="177">
      <c r="A177">
        <f>IMAGE("https://files.manuscdn.com/user_upload_by_module/session_file/310519663766182518/NgNpGrvdpgzglVKk.png")</f>
        <v/>
      </c>
      <c r="B177" t="inlineStr">
        <is>
          <t>product_page029_item08</t>
        </is>
      </c>
      <c r="C177" t="inlineStr">
        <is>
          <t>Blocko</t>
        </is>
      </c>
      <c r="D177" t="inlineStr">
        <is>
          <t>N/A</t>
        </is>
      </c>
      <c r="E177" t="inlineStr"/>
      <c r="F177" t="inlineStr">
        <is>
          <t>متنوع</t>
        </is>
      </c>
      <c r="G177" t="inlineStr"/>
      <c r="H177" t="inlineStr">
        <is>
          <t>1,000.00</t>
        </is>
      </c>
      <c r="I177" t="inlineStr">
        <is>
          <t>أدوات صحية</t>
        </is>
      </c>
    </row>
    <row r="178">
      <c r="A178">
        <f>IMAGE("https://files.manuscdn.com/user_upload_by_module/session_file/310519663766182518/RhawgGJNLQLBrLTe.png")</f>
        <v/>
      </c>
      <c r="B178" t="inlineStr">
        <is>
          <t>product_page029_item09</t>
        </is>
      </c>
      <c r="C178" t="inlineStr">
        <is>
          <t>Blocko</t>
        </is>
      </c>
      <c r="D178" t="inlineStr">
        <is>
          <t>N/A</t>
        </is>
      </c>
      <c r="E178" t="inlineStr"/>
      <c r="F178" t="inlineStr">
        <is>
          <t>متنوع</t>
        </is>
      </c>
      <c r="G178" t="inlineStr"/>
      <c r="H178" t="inlineStr">
        <is>
          <t>1,000.00</t>
        </is>
      </c>
      <c r="I178" t="inlineStr">
        <is>
          <t>أدوات صحية</t>
        </is>
      </c>
    </row>
    <row r="179">
      <c r="A179">
        <f>IMAGE("https://files.manuscdn.com/user_upload_by_module/session_file/310519663766182518/oKJYoNzmSXhAWVXc.png")</f>
        <v/>
      </c>
      <c r="B179" t="inlineStr">
        <is>
          <t>product_page029_item10</t>
        </is>
      </c>
      <c r="C179" t="inlineStr">
        <is>
          <t>Blocko</t>
        </is>
      </c>
      <c r="D179" t="inlineStr">
        <is>
          <t>N/A</t>
        </is>
      </c>
      <c r="E179" t="inlineStr"/>
      <c r="F179" t="inlineStr">
        <is>
          <t>متنوع</t>
        </is>
      </c>
      <c r="G179" t="inlineStr"/>
      <c r="H179" t="inlineStr">
        <is>
          <t>1,000.00</t>
        </is>
      </c>
      <c r="I179" t="inlineStr">
        <is>
          <t>أدوات صحية</t>
        </is>
      </c>
    </row>
    <row r="180">
      <c r="A180">
        <f>IMAGE("https://files.manuscdn.com/user_upload_by_module/session_file/310519663766182518/DAbdncdhaGVDBlIn.png")</f>
        <v/>
      </c>
      <c r="B180" t="inlineStr">
        <is>
          <t>product_page029_item11</t>
        </is>
      </c>
      <c r="C180" t="inlineStr">
        <is>
          <t>Blocko</t>
        </is>
      </c>
      <c r="D180" t="inlineStr">
        <is>
          <t>N/A</t>
        </is>
      </c>
      <c r="E180" t="inlineStr"/>
      <c r="F180" t="inlineStr">
        <is>
          <t>متنوع</t>
        </is>
      </c>
      <c r="G180" t="inlineStr"/>
      <c r="H180" t="inlineStr">
        <is>
          <t>1,000.00</t>
        </is>
      </c>
      <c r="I180" t="inlineStr">
        <is>
          <t>أدوات صحية</t>
        </is>
      </c>
    </row>
    <row r="181">
      <c r="A181">
        <f>IMAGE("https://files.manuscdn.com/user_upload_by_module/session_file/310519663766182518/KajockwDVwfVqoBy.png")</f>
        <v/>
      </c>
      <c r="B181" t="inlineStr">
        <is>
          <t>product_page030_item00</t>
        </is>
      </c>
      <c r="C181" t="inlineStr">
        <is>
          <t>Blocko</t>
        </is>
      </c>
      <c r="D181" t="inlineStr">
        <is>
          <t>N/A</t>
        </is>
      </c>
      <c r="E181" t="inlineStr"/>
      <c r="F181" t="inlineStr">
        <is>
          <t>متنوع</t>
        </is>
      </c>
      <c r="G181" t="inlineStr"/>
      <c r="H181" t="inlineStr">
        <is>
          <t>1,000.00</t>
        </is>
      </c>
      <c r="I181" t="inlineStr">
        <is>
          <t>أدوات صحية</t>
        </is>
      </c>
    </row>
    <row r="182">
      <c r="A182">
        <f>IMAGE("https://files.manuscdn.com/user_upload_by_module/session_file/310519663766182518/NMaffngRIQQmJLkq.png")</f>
        <v/>
      </c>
      <c r="B182" t="inlineStr">
        <is>
          <t>product_page030_item01</t>
        </is>
      </c>
      <c r="C182" t="inlineStr">
        <is>
          <t>Blocko</t>
        </is>
      </c>
      <c r="D182" t="inlineStr">
        <is>
          <t>N/A</t>
        </is>
      </c>
      <c r="E182" t="inlineStr"/>
      <c r="F182" t="inlineStr">
        <is>
          <t>متنوع</t>
        </is>
      </c>
      <c r="G182" t="inlineStr"/>
      <c r="H182" t="inlineStr">
        <is>
          <t>1,000.00</t>
        </is>
      </c>
      <c r="I182" t="inlineStr">
        <is>
          <t>أدوات صحية</t>
        </is>
      </c>
    </row>
    <row r="183">
      <c r="A183">
        <f>IMAGE("https://files.manuscdn.com/user_upload_by_module/session_file/310519663766182518/GJWErBMXLzMcaAYE.png")</f>
        <v/>
      </c>
      <c r="B183" t="inlineStr">
        <is>
          <t>product_page030_item02</t>
        </is>
      </c>
      <c r="C183" t="inlineStr">
        <is>
          <t>Blocko</t>
        </is>
      </c>
      <c r="D183" t="inlineStr">
        <is>
          <t>N/A</t>
        </is>
      </c>
      <c r="E183" t="inlineStr"/>
      <c r="F183" t="inlineStr">
        <is>
          <t>متنوع</t>
        </is>
      </c>
      <c r="G183" t="inlineStr"/>
      <c r="H183" t="inlineStr">
        <is>
          <t>1,000.00</t>
        </is>
      </c>
      <c r="I183" t="inlineStr">
        <is>
          <t>أدوات صحية</t>
        </is>
      </c>
    </row>
    <row r="184">
      <c r="A184">
        <f>IMAGE("https://files.manuscdn.com/user_upload_by_module/session_file/310519663766182518/hOQDWpAgJOWeocrr.png")</f>
        <v/>
      </c>
      <c r="B184" t="inlineStr">
        <is>
          <t>product_page030_item03</t>
        </is>
      </c>
      <c r="C184" t="inlineStr">
        <is>
          <t>Blocko</t>
        </is>
      </c>
      <c r="D184" t="inlineStr">
        <is>
          <t>N/A</t>
        </is>
      </c>
      <c r="E184" t="inlineStr"/>
      <c r="F184" t="inlineStr">
        <is>
          <t>متنوع</t>
        </is>
      </c>
      <c r="G184" t="inlineStr"/>
      <c r="H184" t="inlineStr">
        <is>
          <t>1,000.00</t>
        </is>
      </c>
      <c r="I184" t="inlineStr">
        <is>
          <t>أدوات صحية</t>
        </is>
      </c>
    </row>
    <row r="185">
      <c r="A185">
        <f>IMAGE("https://files.manuscdn.com/user_upload_by_module/session_file/310519663766182518/UBYKHMbWtMrnelqm.png")</f>
        <v/>
      </c>
      <c r="B185" t="inlineStr">
        <is>
          <t>product_page030_item04</t>
        </is>
      </c>
      <c r="C185" t="inlineStr">
        <is>
          <t>Blocko</t>
        </is>
      </c>
      <c r="D185" t="inlineStr">
        <is>
          <t>N/A</t>
        </is>
      </c>
      <c r="E185" t="inlineStr"/>
      <c r="F185" t="inlineStr">
        <is>
          <t>متنوع</t>
        </is>
      </c>
      <c r="G185" t="inlineStr"/>
      <c r="H185" t="inlineStr">
        <is>
          <t>1,000.00</t>
        </is>
      </c>
      <c r="I185" t="inlineStr">
        <is>
          <t>أدوات صحية</t>
        </is>
      </c>
    </row>
    <row r="186">
      <c r="A186">
        <f>IMAGE("https://files.manuscdn.com/user_upload_by_module/session_file/310519663766182518/VYCZdAMTdEOZHqvi.png")</f>
        <v/>
      </c>
      <c r="B186" t="inlineStr">
        <is>
          <t>product_page030_item05</t>
        </is>
      </c>
      <c r="C186" t="inlineStr">
        <is>
          <t>Blocko</t>
        </is>
      </c>
      <c r="D186" t="inlineStr">
        <is>
          <t>N/A</t>
        </is>
      </c>
      <c r="E186" t="inlineStr"/>
      <c r="F186" t="inlineStr">
        <is>
          <t>متنوع</t>
        </is>
      </c>
      <c r="G186" t="inlineStr"/>
      <c r="H186" t="inlineStr">
        <is>
          <t>1,000.00</t>
        </is>
      </c>
      <c r="I186" t="inlineStr">
        <is>
          <t>أدوات صحية</t>
        </is>
      </c>
    </row>
    <row r="187">
      <c r="A187">
        <f>IMAGE("https://files.manuscdn.com/user_upload_by_module/session_file/310519663766182518/WxhXCXnVKgbuXelx.png")</f>
        <v/>
      </c>
      <c r="B187" t="inlineStr">
        <is>
          <t>product_page031_item00</t>
        </is>
      </c>
      <c r="C187" t="inlineStr">
        <is>
          <t>Blocko</t>
        </is>
      </c>
      <c r="D187" t="inlineStr">
        <is>
          <t>N/A</t>
        </is>
      </c>
      <c r="E187" t="inlineStr"/>
      <c r="F187" t="inlineStr">
        <is>
          <t>متنوع</t>
        </is>
      </c>
      <c r="G187" t="inlineStr"/>
      <c r="H187" t="inlineStr">
        <is>
          <t>1,000.00</t>
        </is>
      </c>
      <c r="I187" t="inlineStr">
        <is>
          <t>أدوات صحية</t>
        </is>
      </c>
    </row>
    <row r="188">
      <c r="A188">
        <f>IMAGE("https://files.manuscdn.com/user_upload_by_module/session_file/310519663766182518/qFkzVtZIBOqnKWik.png")</f>
        <v/>
      </c>
      <c r="B188" t="inlineStr">
        <is>
          <t>product_page031_item01</t>
        </is>
      </c>
      <c r="C188" t="inlineStr">
        <is>
          <t>Blocko</t>
        </is>
      </c>
      <c r="D188" t="inlineStr">
        <is>
          <t>N/A</t>
        </is>
      </c>
      <c r="E188" t="inlineStr"/>
      <c r="F188" t="inlineStr">
        <is>
          <t>متنوع</t>
        </is>
      </c>
      <c r="G188" t="inlineStr"/>
      <c r="H188" t="inlineStr">
        <is>
          <t>1,000.00</t>
        </is>
      </c>
      <c r="I188" t="inlineStr">
        <is>
          <t>أدوات صحية</t>
        </is>
      </c>
    </row>
    <row r="189">
      <c r="A189">
        <f>IMAGE("https://files.manuscdn.com/user_upload_by_module/session_file/310519663766182518/bDRYYnyBRIRDHerd.png")</f>
        <v/>
      </c>
      <c r="B189" t="inlineStr">
        <is>
          <t>product_page031_item02</t>
        </is>
      </c>
      <c r="C189" t="inlineStr">
        <is>
          <t>Blocko</t>
        </is>
      </c>
      <c r="D189" t="inlineStr">
        <is>
          <t>N/A</t>
        </is>
      </c>
      <c r="E189" t="inlineStr"/>
      <c r="F189" t="inlineStr">
        <is>
          <t>متنوع</t>
        </is>
      </c>
      <c r="G189" t="inlineStr"/>
      <c r="H189" t="inlineStr">
        <is>
          <t>1,000.00</t>
        </is>
      </c>
      <c r="I189" t="inlineStr">
        <is>
          <t>أدوات صحية</t>
        </is>
      </c>
    </row>
    <row r="190">
      <c r="A190">
        <f>IMAGE("https://files.manuscdn.com/user_upload_by_module/session_file/310519663766182518/cWIdudoKAbVAzpua.png")</f>
        <v/>
      </c>
      <c r="B190" t="inlineStr">
        <is>
          <t>product_page031_item03</t>
        </is>
      </c>
      <c r="C190" t="inlineStr">
        <is>
          <t>Blocko</t>
        </is>
      </c>
      <c r="D190" t="inlineStr">
        <is>
          <t>N/A</t>
        </is>
      </c>
      <c r="E190" t="inlineStr"/>
      <c r="F190" t="inlineStr">
        <is>
          <t>متنوع</t>
        </is>
      </c>
      <c r="G190" t="inlineStr"/>
      <c r="H190" t="inlineStr">
        <is>
          <t>1,000.00</t>
        </is>
      </c>
      <c r="I190" t="inlineStr">
        <is>
          <t>أدوات صحية</t>
        </is>
      </c>
    </row>
    <row r="191">
      <c r="A191">
        <f>IMAGE("https://files.manuscdn.com/user_upload_by_module/session_file/310519663766182518/eXLDQiRzZUuGLBlM.png")</f>
        <v/>
      </c>
      <c r="B191" t="inlineStr">
        <is>
          <t>product_page032_item00</t>
        </is>
      </c>
      <c r="C191" t="inlineStr">
        <is>
          <t>Blocko</t>
        </is>
      </c>
      <c r="D191" t="inlineStr">
        <is>
          <t>N/A</t>
        </is>
      </c>
      <c r="E191" t="inlineStr"/>
      <c r="F191" t="inlineStr">
        <is>
          <t>متنوع</t>
        </is>
      </c>
      <c r="G191" t="inlineStr"/>
      <c r="H191" t="inlineStr">
        <is>
          <t>1,000.00</t>
        </is>
      </c>
      <c r="I191" t="inlineStr">
        <is>
          <t>أدوات صحية</t>
        </is>
      </c>
    </row>
    <row r="192">
      <c r="A192">
        <f>IMAGE("https://files.manuscdn.com/user_upload_by_module/session_file/310519663766182518/NsZdtoCPyauyZgkQ.png")</f>
        <v/>
      </c>
      <c r="B192" t="inlineStr">
        <is>
          <t>product_page032_item01</t>
        </is>
      </c>
      <c r="C192" t="inlineStr">
        <is>
          <t>Blocko</t>
        </is>
      </c>
      <c r="D192" t="inlineStr">
        <is>
          <t>N/A</t>
        </is>
      </c>
      <c r="E192" t="inlineStr"/>
      <c r="F192" t="inlineStr">
        <is>
          <t>متنوع</t>
        </is>
      </c>
      <c r="G192" t="inlineStr"/>
      <c r="H192" t="inlineStr">
        <is>
          <t>1,000.00</t>
        </is>
      </c>
      <c r="I192" t="inlineStr">
        <is>
          <t>أدوات صحية</t>
        </is>
      </c>
    </row>
    <row r="193">
      <c r="A193">
        <f>IMAGE("https://files.manuscdn.com/user_upload_by_module/session_file/310519663766182518/AyszgLwfCinhrBzD.png")</f>
        <v/>
      </c>
      <c r="B193" t="inlineStr">
        <is>
          <t>product_page032_item02</t>
        </is>
      </c>
      <c r="C193" t="inlineStr">
        <is>
          <t>Blocko</t>
        </is>
      </c>
      <c r="D193" t="inlineStr">
        <is>
          <t>N/A</t>
        </is>
      </c>
      <c r="E193" t="inlineStr"/>
      <c r="F193" t="inlineStr">
        <is>
          <t>متنوع</t>
        </is>
      </c>
      <c r="G193" t="inlineStr"/>
      <c r="H193" t="inlineStr">
        <is>
          <t>1,000.00</t>
        </is>
      </c>
      <c r="I193" t="inlineStr">
        <is>
          <t>أدوات صحية</t>
        </is>
      </c>
    </row>
    <row r="194">
      <c r="A194">
        <f>IMAGE("https://files.manuscdn.com/user_upload_by_module/session_file/310519663766182518/ZjnPskdZjGgKdZSr.png")</f>
        <v/>
      </c>
      <c r="B194" t="inlineStr">
        <is>
          <t>product_page032_item03</t>
        </is>
      </c>
      <c r="C194" t="inlineStr">
        <is>
          <t>Blocko</t>
        </is>
      </c>
      <c r="D194" t="inlineStr">
        <is>
          <t>N/A</t>
        </is>
      </c>
      <c r="E194" t="inlineStr"/>
      <c r="F194" t="inlineStr">
        <is>
          <t>متنوع</t>
        </is>
      </c>
      <c r="G194" t="inlineStr"/>
      <c r="H194" t="inlineStr">
        <is>
          <t>1,000.00</t>
        </is>
      </c>
      <c r="I194" t="inlineStr">
        <is>
          <t>أدوات صحية</t>
        </is>
      </c>
    </row>
    <row r="195">
      <c r="A195">
        <f>IMAGE("https://files.manuscdn.com/user_upload_by_module/session_file/310519663766182518/aurXUhxqtdlnpDxz.png")</f>
        <v/>
      </c>
      <c r="B195" t="inlineStr">
        <is>
          <t>product_page032_item04</t>
        </is>
      </c>
      <c r="C195" t="inlineStr">
        <is>
          <t>Blocko</t>
        </is>
      </c>
      <c r="D195" t="inlineStr">
        <is>
          <t>N/A</t>
        </is>
      </c>
      <c r="E195" t="inlineStr"/>
      <c r="F195" t="inlineStr">
        <is>
          <t>متنوع</t>
        </is>
      </c>
      <c r="G195" t="inlineStr"/>
      <c r="H195" t="inlineStr">
        <is>
          <t>1,000.00</t>
        </is>
      </c>
      <c r="I195" t="inlineStr">
        <is>
          <t>أدوات صحية</t>
        </is>
      </c>
    </row>
    <row r="196">
      <c r="A196">
        <f>IMAGE("https://files.manuscdn.com/user_upload_by_module/session_file/310519663766182518/BWChviPQFwhpgbwj.png")</f>
        <v/>
      </c>
      <c r="B196" t="inlineStr">
        <is>
          <t>product_page032_item05</t>
        </is>
      </c>
      <c r="C196" t="inlineStr">
        <is>
          <t>Blocko</t>
        </is>
      </c>
      <c r="D196" t="inlineStr">
        <is>
          <t>N/A</t>
        </is>
      </c>
      <c r="E196" t="inlineStr"/>
      <c r="F196" t="inlineStr">
        <is>
          <t>متنوع</t>
        </is>
      </c>
      <c r="G196" t="inlineStr"/>
      <c r="H196" t="inlineStr">
        <is>
          <t>1,000.00</t>
        </is>
      </c>
      <c r="I196" t="inlineStr">
        <is>
          <t>أدوات صحية</t>
        </is>
      </c>
    </row>
    <row r="197">
      <c r="A197">
        <f>IMAGE("https://files.manuscdn.com/user_upload_by_module/session_file/310519663766182518/qTADbgEPuPHRxDBO.png")</f>
        <v/>
      </c>
      <c r="B197" t="inlineStr">
        <is>
          <t>product_page032_item06</t>
        </is>
      </c>
      <c r="C197" t="inlineStr">
        <is>
          <t>Blocko</t>
        </is>
      </c>
      <c r="D197" t="inlineStr">
        <is>
          <t>N/A</t>
        </is>
      </c>
      <c r="E197" t="inlineStr"/>
      <c r="F197" t="inlineStr">
        <is>
          <t>متنوع</t>
        </is>
      </c>
      <c r="G197" t="inlineStr"/>
      <c r="H197" t="inlineStr">
        <is>
          <t>1,000.00</t>
        </is>
      </c>
      <c r="I197" t="inlineStr">
        <is>
          <t>أدوات صحية</t>
        </is>
      </c>
    </row>
    <row r="198">
      <c r="A198">
        <f>IMAGE("https://files.manuscdn.com/user_upload_by_module/session_file/310519663766182518/hgfTmwoPeIbOFshL.png")</f>
        <v/>
      </c>
      <c r="B198" t="inlineStr">
        <is>
          <t>product_page032_item07</t>
        </is>
      </c>
      <c r="C198" t="inlineStr">
        <is>
          <t>Blocko</t>
        </is>
      </c>
      <c r="D198" t="inlineStr">
        <is>
          <t>N/A</t>
        </is>
      </c>
      <c r="E198" t="inlineStr"/>
      <c r="F198" t="inlineStr">
        <is>
          <t>متنوع</t>
        </is>
      </c>
      <c r="G198" t="inlineStr"/>
      <c r="H198" t="inlineStr">
        <is>
          <t>1,000.00</t>
        </is>
      </c>
      <c r="I198" t="inlineStr">
        <is>
          <t>أدوات صحية</t>
        </is>
      </c>
    </row>
    <row r="199">
      <c r="A199">
        <f>IMAGE("https://files.manuscdn.com/user_upload_by_module/session_file/310519663766182518/jZZZMiNPQhKPsklm.png")</f>
        <v/>
      </c>
      <c r="B199" t="inlineStr">
        <is>
          <t>product_page032_item08</t>
        </is>
      </c>
      <c r="C199" t="inlineStr">
        <is>
          <t>Blocko</t>
        </is>
      </c>
      <c r="D199" t="inlineStr">
        <is>
          <t>N/A</t>
        </is>
      </c>
      <c r="E199" t="inlineStr"/>
      <c r="F199" t="inlineStr">
        <is>
          <t>متنوع</t>
        </is>
      </c>
      <c r="G199" t="inlineStr"/>
      <c r="H199" t="inlineStr">
        <is>
          <t>1,000.00</t>
        </is>
      </c>
      <c r="I199" t="inlineStr">
        <is>
          <t>أدوات صحية</t>
        </is>
      </c>
    </row>
    <row r="200">
      <c r="A200">
        <f>IMAGE("https://files.manuscdn.com/user_upload_by_module/session_file/310519663766182518/CyEmbAYkwvZOVugG.png")</f>
        <v/>
      </c>
      <c r="B200" t="inlineStr">
        <is>
          <t>product_page032_item09</t>
        </is>
      </c>
      <c r="C200" t="inlineStr">
        <is>
          <t>Blocko</t>
        </is>
      </c>
      <c r="D200" t="inlineStr">
        <is>
          <t>N/A</t>
        </is>
      </c>
      <c r="E200" t="inlineStr"/>
      <c r="F200" t="inlineStr">
        <is>
          <t>متنوع</t>
        </is>
      </c>
      <c r="G200" t="inlineStr"/>
      <c r="H200" t="inlineStr">
        <is>
          <t>1,000.00</t>
        </is>
      </c>
      <c r="I200" t="inlineStr">
        <is>
          <t>أدوات صحية</t>
        </is>
      </c>
    </row>
    <row r="201">
      <c r="A201">
        <f>IMAGE("https://files.manuscdn.com/user_upload_by_module/session_file/310519663766182518/tUcEMAyXXbSVppBC.png")</f>
        <v/>
      </c>
      <c r="B201" t="inlineStr">
        <is>
          <t>product_page032_item10</t>
        </is>
      </c>
      <c r="C201" t="inlineStr">
        <is>
          <t>Blocko</t>
        </is>
      </c>
      <c r="D201" t="inlineStr">
        <is>
          <t>N/A</t>
        </is>
      </c>
      <c r="E201" t="inlineStr"/>
      <c r="F201" t="inlineStr">
        <is>
          <t>متنوع</t>
        </is>
      </c>
      <c r="G201" t="inlineStr"/>
      <c r="H201" t="inlineStr">
        <is>
          <t>1,000.00</t>
        </is>
      </c>
      <c r="I201" t="inlineStr">
        <is>
          <t>أدوات صحية</t>
        </is>
      </c>
    </row>
    <row r="202">
      <c r="A202">
        <f>IMAGE("https://files.manuscdn.com/user_upload_by_module/session_file/310519663766182518/mQpdfdswezFdTMzh.png")</f>
        <v/>
      </c>
      <c r="B202" t="inlineStr">
        <is>
          <t>product_page033_item00</t>
        </is>
      </c>
      <c r="C202" t="inlineStr">
        <is>
          <t>Blocko</t>
        </is>
      </c>
      <c r="D202" t="inlineStr">
        <is>
          <t>N/A</t>
        </is>
      </c>
      <c r="E202" t="inlineStr"/>
      <c r="F202" t="inlineStr">
        <is>
          <t>متنوع</t>
        </is>
      </c>
      <c r="G202" t="inlineStr"/>
      <c r="H202" t="inlineStr">
        <is>
          <t>1,000.00</t>
        </is>
      </c>
      <c r="I202" t="inlineStr">
        <is>
          <t>أدوات صحية</t>
        </is>
      </c>
    </row>
    <row r="203">
      <c r="A203">
        <f>IMAGE("https://files.manuscdn.com/user_upload_by_module/session_file/310519663766182518/AGhqvhMUjmLnUJka.png")</f>
        <v/>
      </c>
      <c r="B203" t="inlineStr">
        <is>
          <t>product_page033_item01</t>
        </is>
      </c>
      <c r="C203" t="inlineStr">
        <is>
          <t>Blocko</t>
        </is>
      </c>
      <c r="D203" t="inlineStr">
        <is>
          <t>N/A</t>
        </is>
      </c>
      <c r="E203" t="inlineStr"/>
      <c r="F203" t="inlineStr">
        <is>
          <t>متنوع</t>
        </is>
      </c>
      <c r="G203" t="inlineStr"/>
      <c r="H203" t="inlineStr">
        <is>
          <t>1,000.00</t>
        </is>
      </c>
      <c r="I203" t="inlineStr">
        <is>
          <t>أدوات صحية</t>
        </is>
      </c>
    </row>
    <row r="204">
      <c r="A204">
        <f>IMAGE("https://files.manuscdn.com/user_upload_by_module/session_file/310519663766182518/xfaKcUHPwgaDwCqf.png")</f>
        <v/>
      </c>
      <c r="B204" t="inlineStr">
        <is>
          <t>product_page033_item02</t>
        </is>
      </c>
      <c r="C204" t="inlineStr">
        <is>
          <t>Blocko</t>
        </is>
      </c>
      <c r="D204" t="inlineStr">
        <is>
          <t>N/A</t>
        </is>
      </c>
      <c r="E204" t="inlineStr"/>
      <c r="F204" t="inlineStr">
        <is>
          <t>متنوع</t>
        </is>
      </c>
      <c r="G204" t="inlineStr"/>
      <c r="H204" t="inlineStr">
        <is>
          <t>1,000.00</t>
        </is>
      </c>
      <c r="I204" t="inlineStr">
        <is>
          <t>أدوات صحية</t>
        </is>
      </c>
    </row>
    <row r="205">
      <c r="A205">
        <f>IMAGE("https://files.manuscdn.com/user_upload_by_module/session_file/310519663766182518/XgFHtNKsEXmCHQaA.png")</f>
        <v/>
      </c>
      <c r="B205" t="inlineStr">
        <is>
          <t>product_page033_item03</t>
        </is>
      </c>
      <c r="C205" t="inlineStr">
        <is>
          <t>Blocko</t>
        </is>
      </c>
      <c r="D205" t="inlineStr">
        <is>
          <t>N/A</t>
        </is>
      </c>
      <c r="E205" t="inlineStr"/>
      <c r="F205" t="inlineStr">
        <is>
          <t>متنوع</t>
        </is>
      </c>
      <c r="G205" t="inlineStr"/>
      <c r="H205" t="inlineStr">
        <is>
          <t>1,000.00</t>
        </is>
      </c>
      <c r="I205" t="inlineStr">
        <is>
          <t>أدوات صحية</t>
        </is>
      </c>
    </row>
    <row r="206">
      <c r="A206">
        <f>IMAGE("https://files.manuscdn.com/user_upload_by_module/session_file/310519663766182518/YPSoSsTnsBKNbJhL.png")</f>
        <v/>
      </c>
      <c r="B206" t="inlineStr">
        <is>
          <t>product_page033_item04</t>
        </is>
      </c>
      <c r="C206" t="inlineStr">
        <is>
          <t>Blocko</t>
        </is>
      </c>
      <c r="D206" t="inlineStr">
        <is>
          <t>N/A</t>
        </is>
      </c>
      <c r="E206" t="inlineStr"/>
      <c r="F206" t="inlineStr">
        <is>
          <t>متنوع</t>
        </is>
      </c>
      <c r="G206" t="inlineStr"/>
      <c r="H206" t="inlineStr">
        <is>
          <t>1,000.00</t>
        </is>
      </c>
      <c r="I206" t="inlineStr">
        <is>
          <t>أدوات صحية</t>
        </is>
      </c>
    </row>
    <row r="207">
      <c r="A207">
        <f>IMAGE("https://files.manuscdn.com/user_upload_by_module/session_file/310519663766182518/yQRtdqKAvqCfOtEm.png")</f>
        <v/>
      </c>
      <c r="B207" t="inlineStr">
        <is>
          <t>product_page033_item05</t>
        </is>
      </c>
      <c r="C207" t="inlineStr">
        <is>
          <t>Blocko</t>
        </is>
      </c>
      <c r="D207" t="inlineStr">
        <is>
          <t>N/A</t>
        </is>
      </c>
      <c r="E207" t="inlineStr"/>
      <c r="F207" t="inlineStr">
        <is>
          <t>متنوع</t>
        </is>
      </c>
      <c r="G207" t="inlineStr"/>
      <c r="H207" t="inlineStr">
        <is>
          <t>1,000.00</t>
        </is>
      </c>
      <c r="I207" t="inlineStr">
        <is>
          <t>أدوات صحية</t>
        </is>
      </c>
    </row>
    <row r="208">
      <c r="A208">
        <f>IMAGE("https://files.manuscdn.com/user_upload_by_module/session_file/310519663766182518/VSHMGPtviqTmIXsG.png")</f>
        <v/>
      </c>
      <c r="B208" t="inlineStr">
        <is>
          <t>product_page034_item00</t>
        </is>
      </c>
      <c r="C208" t="inlineStr">
        <is>
          <t>Blocko</t>
        </is>
      </c>
      <c r="D208" t="inlineStr">
        <is>
          <t>N/A</t>
        </is>
      </c>
      <c r="E208" t="inlineStr"/>
      <c r="F208" t="inlineStr">
        <is>
          <t>متنوع</t>
        </is>
      </c>
      <c r="G208" t="inlineStr"/>
      <c r="H208" t="inlineStr">
        <is>
          <t>1,000.00</t>
        </is>
      </c>
      <c r="I208" t="inlineStr">
        <is>
          <t>أدوات صحية</t>
        </is>
      </c>
    </row>
    <row r="209">
      <c r="A209">
        <f>IMAGE("https://files.manuscdn.com/user_upload_by_module/session_file/310519663766182518/ErJeIiOtJhPjuXaB.png")</f>
        <v/>
      </c>
      <c r="B209" t="inlineStr">
        <is>
          <t>product_page034_item01</t>
        </is>
      </c>
      <c r="C209" t="inlineStr">
        <is>
          <t>Blocko</t>
        </is>
      </c>
      <c r="D209" t="inlineStr">
        <is>
          <t>N/A</t>
        </is>
      </c>
      <c r="E209" t="inlineStr"/>
      <c r="F209" t="inlineStr">
        <is>
          <t>متنوع</t>
        </is>
      </c>
      <c r="G209" t="inlineStr"/>
      <c r="H209" t="inlineStr">
        <is>
          <t>1,000.00</t>
        </is>
      </c>
      <c r="I209" t="inlineStr">
        <is>
          <t>أدوات صحية</t>
        </is>
      </c>
    </row>
    <row r="210">
      <c r="A210">
        <f>IMAGE("https://files.manuscdn.com/user_upload_by_module/session_file/310519663766182518/rFLahMupSOGZXLTZ.png")</f>
        <v/>
      </c>
      <c r="B210" t="inlineStr">
        <is>
          <t>product_page034_item02</t>
        </is>
      </c>
      <c r="C210" t="inlineStr">
        <is>
          <t>Blocko</t>
        </is>
      </c>
      <c r="D210" t="inlineStr">
        <is>
          <t>N/A</t>
        </is>
      </c>
      <c r="E210" t="inlineStr"/>
      <c r="F210" t="inlineStr">
        <is>
          <t>متنوع</t>
        </is>
      </c>
      <c r="G210" t="inlineStr"/>
      <c r="H210" t="inlineStr">
        <is>
          <t>1,000.00</t>
        </is>
      </c>
      <c r="I210" t="inlineStr">
        <is>
          <t>أدوات صحية</t>
        </is>
      </c>
    </row>
    <row r="211">
      <c r="A211">
        <f>IMAGE("https://files.manuscdn.com/user_upload_by_module/session_file/310519663766182518/sTMsMgJdwyFIfRER.png")</f>
        <v/>
      </c>
      <c r="B211" t="inlineStr">
        <is>
          <t>product_page034_item03</t>
        </is>
      </c>
      <c r="C211" t="inlineStr">
        <is>
          <t>Blocko</t>
        </is>
      </c>
      <c r="D211" t="inlineStr">
        <is>
          <t>N/A</t>
        </is>
      </c>
      <c r="E211" t="inlineStr"/>
      <c r="F211" t="inlineStr">
        <is>
          <t>متنوع</t>
        </is>
      </c>
      <c r="G211" t="inlineStr"/>
      <c r="H211" t="inlineStr">
        <is>
          <t>1,000.00</t>
        </is>
      </c>
      <c r="I211" t="inlineStr">
        <is>
          <t>أدوات صحية</t>
        </is>
      </c>
    </row>
    <row r="212">
      <c r="A212">
        <f>IMAGE("https://files.manuscdn.com/user_upload_by_module/session_file/310519663766182518/oYpFPtGYSRSuEnLM.png")</f>
        <v/>
      </c>
      <c r="B212" t="inlineStr">
        <is>
          <t>product_page035_item00</t>
        </is>
      </c>
      <c r="C212" t="inlineStr">
        <is>
          <t>Blocko</t>
        </is>
      </c>
      <c r="D212" t="inlineStr">
        <is>
          <t>N/A</t>
        </is>
      </c>
      <c r="E212" t="inlineStr"/>
      <c r="F212" t="inlineStr">
        <is>
          <t>متنوع</t>
        </is>
      </c>
      <c r="G212" t="inlineStr"/>
      <c r="H212" t="inlineStr">
        <is>
          <t>1,000.00</t>
        </is>
      </c>
      <c r="I212" t="inlineStr">
        <is>
          <t>أدوات صحية</t>
        </is>
      </c>
    </row>
    <row r="213">
      <c r="A213">
        <f>IMAGE("https://files.manuscdn.com/user_upload_by_module/session_file/310519663766182518/hVOXwFfNJzZKXPfo.png")</f>
        <v/>
      </c>
      <c r="B213" t="inlineStr">
        <is>
          <t>product_page035_item01</t>
        </is>
      </c>
      <c r="C213" t="inlineStr">
        <is>
          <t>Blocko</t>
        </is>
      </c>
      <c r="D213" t="inlineStr">
        <is>
          <t>N/A</t>
        </is>
      </c>
      <c r="E213" t="inlineStr"/>
      <c r="F213" t="inlineStr">
        <is>
          <t>متنوع</t>
        </is>
      </c>
      <c r="G213" t="inlineStr"/>
      <c r="H213" t="inlineStr">
        <is>
          <t>1,000.00</t>
        </is>
      </c>
      <c r="I213" t="inlineStr">
        <is>
          <t>أدوات صحية</t>
        </is>
      </c>
    </row>
    <row r="214">
      <c r="A214">
        <f>IMAGE("https://files.manuscdn.com/user_upload_by_module/session_file/310519663766182518/oXgjKpEQgIaCuguY.png")</f>
        <v/>
      </c>
      <c r="B214" t="inlineStr">
        <is>
          <t>product_page035_item02</t>
        </is>
      </c>
      <c r="C214" t="inlineStr">
        <is>
          <t>Blocko</t>
        </is>
      </c>
      <c r="D214" t="inlineStr">
        <is>
          <t>N/A</t>
        </is>
      </c>
      <c r="E214" t="inlineStr"/>
      <c r="F214" t="inlineStr">
        <is>
          <t>متنوع</t>
        </is>
      </c>
      <c r="G214" t="inlineStr"/>
      <c r="H214" t="inlineStr">
        <is>
          <t>1,000.00</t>
        </is>
      </c>
      <c r="I214" t="inlineStr">
        <is>
          <t>أدوات صحية</t>
        </is>
      </c>
    </row>
    <row r="215">
      <c r="A215">
        <f>IMAGE("https://files.manuscdn.com/user_upload_by_module/session_file/310519663766182518/ehCzfYfxPMQFLmYR.png")</f>
        <v/>
      </c>
      <c r="B215" t="inlineStr">
        <is>
          <t>product_page035_item03</t>
        </is>
      </c>
      <c r="C215" t="inlineStr">
        <is>
          <t>Blocko</t>
        </is>
      </c>
      <c r="D215" t="inlineStr">
        <is>
          <t>N/A</t>
        </is>
      </c>
      <c r="E215" t="inlineStr"/>
      <c r="F215" t="inlineStr">
        <is>
          <t>متنوع</t>
        </is>
      </c>
      <c r="G215" t="inlineStr"/>
      <c r="H215" t="inlineStr">
        <is>
          <t>1,000.00</t>
        </is>
      </c>
      <c r="I215" t="inlineStr">
        <is>
          <t>أدوات صحية</t>
        </is>
      </c>
    </row>
    <row r="216">
      <c r="A216">
        <f>IMAGE("https://files.manuscdn.com/user_upload_by_module/session_file/310519663766182518/mlPhbhmXTLpcWpqH.png")</f>
        <v/>
      </c>
      <c r="B216" t="inlineStr">
        <is>
          <t>product_page036_item00</t>
        </is>
      </c>
      <c r="C216" t="inlineStr">
        <is>
          <t>Blocko</t>
        </is>
      </c>
      <c r="D216" t="inlineStr">
        <is>
          <t>N/A</t>
        </is>
      </c>
      <c r="E216" t="inlineStr"/>
      <c r="F216" t="inlineStr">
        <is>
          <t>متنوع</t>
        </is>
      </c>
      <c r="G216" t="inlineStr"/>
      <c r="H216" t="inlineStr">
        <is>
          <t>1,000.00</t>
        </is>
      </c>
      <c r="I216" t="inlineStr">
        <is>
          <t>أدوات صحية</t>
        </is>
      </c>
    </row>
    <row r="217">
      <c r="A217">
        <f>IMAGE("https://files.manuscdn.com/user_upload_by_module/session_file/310519663766182518/LZeUtGZigsxntpge.png")</f>
        <v/>
      </c>
      <c r="B217" t="inlineStr">
        <is>
          <t>product_page036_item01</t>
        </is>
      </c>
      <c r="C217" t="inlineStr">
        <is>
          <t>Blocko</t>
        </is>
      </c>
      <c r="D217" t="inlineStr">
        <is>
          <t>N/A</t>
        </is>
      </c>
      <c r="E217" t="inlineStr"/>
      <c r="F217" t="inlineStr">
        <is>
          <t>متنوع</t>
        </is>
      </c>
      <c r="G217" t="inlineStr"/>
      <c r="H217" t="inlineStr">
        <is>
          <t>1,000.00</t>
        </is>
      </c>
      <c r="I217" t="inlineStr">
        <is>
          <t>أدوات صحية</t>
        </is>
      </c>
    </row>
    <row r="218">
      <c r="A218">
        <f>IMAGE("https://files.manuscdn.com/user_upload_by_module/session_file/310519663766182518/CPUDTutWfMZDunoy.png")</f>
        <v/>
      </c>
      <c r="B218" t="inlineStr">
        <is>
          <t>product_page036_item02</t>
        </is>
      </c>
      <c r="C218" t="inlineStr">
        <is>
          <t>Blocko</t>
        </is>
      </c>
      <c r="D218" t="inlineStr">
        <is>
          <t>N/A</t>
        </is>
      </c>
      <c r="E218" t="inlineStr"/>
      <c r="F218" t="inlineStr">
        <is>
          <t>متنوع</t>
        </is>
      </c>
      <c r="G218" t="inlineStr"/>
      <c r="H218" t="inlineStr">
        <is>
          <t>1,000.00</t>
        </is>
      </c>
      <c r="I218" t="inlineStr">
        <is>
          <t>أدوات صحية</t>
        </is>
      </c>
    </row>
    <row r="219">
      <c r="A219">
        <f>IMAGE("https://files.manuscdn.com/user_upload_by_module/session_file/310519663766182518/NAbRaxGjFgiRWUQw.png")</f>
        <v/>
      </c>
      <c r="B219" t="inlineStr">
        <is>
          <t>product_page036_item03</t>
        </is>
      </c>
      <c r="C219" t="inlineStr">
        <is>
          <t>Blocko</t>
        </is>
      </c>
      <c r="D219" t="inlineStr">
        <is>
          <t>N/A</t>
        </is>
      </c>
      <c r="E219" t="inlineStr"/>
      <c r="F219" t="inlineStr">
        <is>
          <t>متنوع</t>
        </is>
      </c>
      <c r="G219" t="inlineStr"/>
      <c r="H219" t="inlineStr">
        <is>
          <t>1,000.00</t>
        </is>
      </c>
      <c r="I219" t="inlineStr">
        <is>
          <t>أدوات صحية</t>
        </is>
      </c>
    </row>
    <row r="220">
      <c r="A220">
        <f>IMAGE("https://files.manuscdn.com/user_upload_by_module/session_file/310519663766182518/DpvDnDtYHkspiliM.png")</f>
        <v/>
      </c>
      <c r="B220" t="inlineStr">
        <is>
          <t>product_page036_item04</t>
        </is>
      </c>
      <c r="C220" t="inlineStr">
        <is>
          <t>Blocko</t>
        </is>
      </c>
      <c r="D220" t="inlineStr">
        <is>
          <t>N/A</t>
        </is>
      </c>
      <c r="E220" t="inlineStr"/>
      <c r="F220" t="inlineStr">
        <is>
          <t>متنوع</t>
        </is>
      </c>
      <c r="G220" t="inlineStr"/>
      <c r="H220" t="inlineStr">
        <is>
          <t>1,000.00</t>
        </is>
      </c>
      <c r="I220" t="inlineStr">
        <is>
          <t>أدوات صحية</t>
        </is>
      </c>
    </row>
    <row r="221">
      <c r="A221">
        <f>IMAGE("https://files.manuscdn.com/user_upload_by_module/session_file/310519663766182518/pLqKFONVosdTqipn.png")</f>
        <v/>
      </c>
      <c r="B221" t="inlineStr">
        <is>
          <t>product_page036_item05</t>
        </is>
      </c>
      <c r="C221" t="inlineStr">
        <is>
          <t>Blocko</t>
        </is>
      </c>
      <c r="D221" t="inlineStr">
        <is>
          <t>N/A</t>
        </is>
      </c>
      <c r="E221" t="inlineStr"/>
      <c r="F221" t="inlineStr">
        <is>
          <t>متنوع</t>
        </is>
      </c>
      <c r="G221" t="inlineStr"/>
      <c r="H221" t="inlineStr">
        <is>
          <t>1,000.00</t>
        </is>
      </c>
      <c r="I221" t="inlineStr">
        <is>
          <t>أدوات صحية</t>
        </is>
      </c>
    </row>
    <row r="222">
      <c r="A222">
        <f>IMAGE("https://files.manuscdn.com/user_upload_by_module/session_file/310519663766182518/MQTmJlIskGmrGWxi.png")</f>
        <v/>
      </c>
      <c r="B222" t="inlineStr">
        <is>
          <t>product_page036_item06</t>
        </is>
      </c>
      <c r="C222" t="inlineStr">
        <is>
          <t>Blocko</t>
        </is>
      </c>
      <c r="D222" t="inlineStr">
        <is>
          <t>N/A</t>
        </is>
      </c>
      <c r="E222" t="inlineStr"/>
      <c r="F222" t="inlineStr">
        <is>
          <t>متنوع</t>
        </is>
      </c>
      <c r="G222" t="inlineStr"/>
      <c r="H222" t="inlineStr">
        <is>
          <t>1,000.00</t>
        </is>
      </c>
      <c r="I222" t="inlineStr">
        <is>
          <t>أدوات صحية</t>
        </is>
      </c>
    </row>
    <row r="223">
      <c r="A223">
        <f>IMAGE("https://files.manuscdn.com/user_upload_by_module/session_file/310519663766182518/ZcwZPgcvDnqNirDD.png")</f>
        <v/>
      </c>
      <c r="B223" t="inlineStr">
        <is>
          <t>product_page036_item07</t>
        </is>
      </c>
      <c r="C223" t="inlineStr">
        <is>
          <t>Blocko</t>
        </is>
      </c>
      <c r="D223" t="inlineStr">
        <is>
          <t>N/A</t>
        </is>
      </c>
      <c r="E223" t="inlineStr"/>
      <c r="F223" t="inlineStr">
        <is>
          <t>متنوع</t>
        </is>
      </c>
      <c r="G223" t="inlineStr"/>
      <c r="H223" t="inlineStr">
        <is>
          <t>1,000.00</t>
        </is>
      </c>
      <c r="I223" t="inlineStr">
        <is>
          <t>أدوات صحية</t>
        </is>
      </c>
    </row>
    <row r="224">
      <c r="A224">
        <f>IMAGE("https://files.manuscdn.com/user_upload_by_module/session_file/310519663766182518/CmxLeTVeuyBJkjlZ.png")</f>
        <v/>
      </c>
      <c r="B224" t="inlineStr">
        <is>
          <t>product_page037_item00</t>
        </is>
      </c>
      <c r="C224" t="inlineStr">
        <is>
          <t>Blocko</t>
        </is>
      </c>
      <c r="D224" t="inlineStr">
        <is>
          <t>N/A</t>
        </is>
      </c>
      <c r="E224" t="inlineStr"/>
      <c r="F224" t="inlineStr">
        <is>
          <t>متنوع</t>
        </is>
      </c>
      <c r="G224" t="inlineStr"/>
      <c r="H224" t="inlineStr">
        <is>
          <t>1,000.00</t>
        </is>
      </c>
      <c r="I224" t="inlineStr">
        <is>
          <t>أدوات صحية</t>
        </is>
      </c>
    </row>
    <row r="225">
      <c r="A225">
        <f>IMAGE("https://files.manuscdn.com/user_upload_by_module/session_file/310519663766182518/rmhHPOySpawEQtQJ.png")</f>
        <v/>
      </c>
      <c r="B225" t="inlineStr">
        <is>
          <t>product_page037_item01</t>
        </is>
      </c>
      <c r="C225" t="inlineStr">
        <is>
          <t>Blocko</t>
        </is>
      </c>
      <c r="D225" t="inlineStr">
        <is>
          <t>N/A</t>
        </is>
      </c>
      <c r="E225" t="inlineStr"/>
      <c r="F225" t="inlineStr">
        <is>
          <t>متنوع</t>
        </is>
      </c>
      <c r="G225" t="inlineStr"/>
      <c r="H225" t="inlineStr">
        <is>
          <t>1,000.00</t>
        </is>
      </c>
      <c r="I225" t="inlineStr">
        <is>
          <t>أدوات صحية</t>
        </is>
      </c>
    </row>
    <row r="226">
      <c r="A226">
        <f>IMAGE("https://files.manuscdn.com/user_upload_by_module/session_file/310519663766182518/HejQGAZTZjkuLHqJ.png")</f>
        <v/>
      </c>
      <c r="B226" t="inlineStr">
        <is>
          <t>product_page037_item02</t>
        </is>
      </c>
      <c r="C226" t="inlineStr">
        <is>
          <t>Blocko</t>
        </is>
      </c>
      <c r="D226" t="inlineStr">
        <is>
          <t>N/A</t>
        </is>
      </c>
      <c r="E226" t="inlineStr"/>
      <c r="F226" t="inlineStr">
        <is>
          <t>متنوع</t>
        </is>
      </c>
      <c r="G226" t="inlineStr"/>
      <c r="H226" t="inlineStr">
        <is>
          <t>1,000.00</t>
        </is>
      </c>
      <c r="I226" t="inlineStr">
        <is>
          <t>أدوات صحية</t>
        </is>
      </c>
    </row>
    <row r="227">
      <c r="A227">
        <f>IMAGE("https://files.manuscdn.com/user_upload_by_module/session_file/310519663766182518/aLOVWeeMtzNoKZys.png")</f>
        <v/>
      </c>
      <c r="B227" t="inlineStr">
        <is>
          <t>product_page037_item03</t>
        </is>
      </c>
      <c r="C227" t="inlineStr">
        <is>
          <t>Blocko</t>
        </is>
      </c>
      <c r="D227" t="inlineStr">
        <is>
          <t>N/A</t>
        </is>
      </c>
      <c r="E227" t="inlineStr"/>
      <c r="F227" t="inlineStr">
        <is>
          <t>متنوع</t>
        </is>
      </c>
      <c r="G227" t="inlineStr"/>
      <c r="H227" t="inlineStr">
        <is>
          <t>1,000.00</t>
        </is>
      </c>
      <c r="I227" t="inlineStr">
        <is>
          <t>أدوات صحية</t>
        </is>
      </c>
    </row>
    <row r="228">
      <c r="A228">
        <f>IMAGE("https://files.manuscdn.com/user_upload_by_module/session_file/310519663766182518/DTaXxFoUKYIZxfZM.png")</f>
        <v/>
      </c>
      <c r="B228" t="inlineStr">
        <is>
          <t>product_page037_item04</t>
        </is>
      </c>
      <c r="C228" t="inlineStr">
        <is>
          <t>Blocko</t>
        </is>
      </c>
      <c r="D228" t="inlineStr">
        <is>
          <t>N/A</t>
        </is>
      </c>
      <c r="E228" t="inlineStr"/>
      <c r="F228" t="inlineStr">
        <is>
          <t>متنوع</t>
        </is>
      </c>
      <c r="G228" t="inlineStr"/>
      <c r="H228" t="inlineStr">
        <is>
          <t>1,000.00</t>
        </is>
      </c>
      <c r="I228" t="inlineStr">
        <is>
          <t>أدوات صحية</t>
        </is>
      </c>
    </row>
    <row r="229">
      <c r="A229">
        <f>IMAGE("https://files.manuscdn.com/user_upload_by_module/session_file/310519663766182518/oaFbCsCxnzAeakwP.png")</f>
        <v/>
      </c>
      <c r="B229" t="inlineStr">
        <is>
          <t>product_page037_item05</t>
        </is>
      </c>
      <c r="C229" t="inlineStr">
        <is>
          <t>Blocko</t>
        </is>
      </c>
      <c r="D229" t="inlineStr">
        <is>
          <t>N/A</t>
        </is>
      </c>
      <c r="E229" t="inlineStr"/>
      <c r="F229" t="inlineStr">
        <is>
          <t>متنوع</t>
        </is>
      </c>
      <c r="G229" t="inlineStr"/>
      <c r="H229" t="inlineStr">
        <is>
          <t>1,000.00</t>
        </is>
      </c>
      <c r="I229" t="inlineStr">
        <is>
          <t>أدوات صحية</t>
        </is>
      </c>
    </row>
    <row r="230">
      <c r="A230">
        <f>IMAGE("https://files.manuscdn.com/user_upload_by_module/session_file/310519663766182518/pbZqqwnougoODoAf.png")</f>
        <v/>
      </c>
      <c r="B230" t="inlineStr">
        <is>
          <t>product_page038_item00</t>
        </is>
      </c>
      <c r="C230" t="inlineStr">
        <is>
          <t>Blocko</t>
        </is>
      </c>
      <c r="D230" t="inlineStr">
        <is>
          <t>N/A</t>
        </is>
      </c>
      <c r="E230" t="inlineStr"/>
      <c r="F230" t="inlineStr">
        <is>
          <t>متنوع</t>
        </is>
      </c>
      <c r="G230" t="inlineStr"/>
      <c r="H230" t="inlineStr">
        <is>
          <t>1,000.00</t>
        </is>
      </c>
      <c r="I230" t="inlineStr">
        <is>
          <t>أدوات صحية</t>
        </is>
      </c>
    </row>
    <row r="231">
      <c r="A231">
        <f>IMAGE("https://files.manuscdn.com/user_upload_by_module/session_file/310519663766182518/RnwxTZZGvyWlxUjy.png")</f>
        <v/>
      </c>
      <c r="B231" t="inlineStr">
        <is>
          <t>product_page038_item01</t>
        </is>
      </c>
      <c r="C231" t="inlineStr">
        <is>
          <t>Blocko</t>
        </is>
      </c>
      <c r="D231" t="inlineStr">
        <is>
          <t>N/A</t>
        </is>
      </c>
      <c r="E231" t="inlineStr"/>
      <c r="F231" t="inlineStr">
        <is>
          <t>متنوع</t>
        </is>
      </c>
      <c r="G231" t="inlineStr"/>
      <c r="H231" t="inlineStr">
        <is>
          <t>1,000.00</t>
        </is>
      </c>
      <c r="I231" t="inlineStr">
        <is>
          <t>أدوات صحية</t>
        </is>
      </c>
    </row>
    <row r="232">
      <c r="A232">
        <f>IMAGE("https://files.manuscdn.com/user_upload_by_module/session_file/310519663766182518/mFXJLEnfIbseDiez.png")</f>
        <v/>
      </c>
      <c r="B232" t="inlineStr">
        <is>
          <t>product_page038_item02</t>
        </is>
      </c>
      <c r="C232" t="inlineStr">
        <is>
          <t>Blocko</t>
        </is>
      </c>
      <c r="D232" t="inlineStr">
        <is>
          <t>N/A</t>
        </is>
      </c>
      <c r="E232" t="inlineStr"/>
      <c r="F232" t="inlineStr">
        <is>
          <t>متنوع</t>
        </is>
      </c>
      <c r="G232" t="inlineStr"/>
      <c r="H232" t="inlineStr">
        <is>
          <t>1,000.00</t>
        </is>
      </c>
      <c r="I232" t="inlineStr">
        <is>
          <t>أدوات صحية</t>
        </is>
      </c>
    </row>
    <row r="233">
      <c r="A233">
        <f>IMAGE("https://files.manuscdn.com/user_upload_by_module/session_file/310519663766182518/sxhcGKxpUDrlHbow.png")</f>
        <v/>
      </c>
      <c r="B233" t="inlineStr">
        <is>
          <t>product_page038_item03</t>
        </is>
      </c>
      <c r="C233" t="inlineStr">
        <is>
          <t>Blocko</t>
        </is>
      </c>
      <c r="D233" t="inlineStr">
        <is>
          <t>N/A</t>
        </is>
      </c>
      <c r="E233" t="inlineStr"/>
      <c r="F233" t="inlineStr">
        <is>
          <t>متنوع</t>
        </is>
      </c>
      <c r="G233" t="inlineStr"/>
      <c r="H233" t="inlineStr">
        <is>
          <t>1,000.00</t>
        </is>
      </c>
      <c r="I233" t="inlineStr">
        <is>
          <t>أدوات صحية</t>
        </is>
      </c>
    </row>
    <row r="234">
      <c r="A234">
        <f>IMAGE("https://files.manuscdn.com/user_upload_by_module/session_file/310519663766182518/fUGJdcHGKDTznYvO.png")</f>
        <v/>
      </c>
      <c r="B234" t="inlineStr">
        <is>
          <t>product_page038_item04</t>
        </is>
      </c>
      <c r="C234" t="inlineStr">
        <is>
          <t>Blocko</t>
        </is>
      </c>
      <c r="D234" t="inlineStr">
        <is>
          <t>N/A</t>
        </is>
      </c>
      <c r="E234" t="inlineStr"/>
      <c r="F234" t="inlineStr">
        <is>
          <t>متنوع</t>
        </is>
      </c>
      <c r="G234" t="inlineStr"/>
      <c r="H234" t="inlineStr">
        <is>
          <t>1,000.00</t>
        </is>
      </c>
      <c r="I234" t="inlineStr">
        <is>
          <t>أدوات صحية</t>
        </is>
      </c>
    </row>
    <row r="235">
      <c r="A235">
        <f>IMAGE("https://files.manuscdn.com/user_upload_by_module/session_file/310519663766182518/cXeqBKZPRaNffkWn.png")</f>
        <v/>
      </c>
      <c r="B235" t="inlineStr">
        <is>
          <t>product_page038_item05</t>
        </is>
      </c>
      <c r="C235" t="inlineStr">
        <is>
          <t>Blocko</t>
        </is>
      </c>
      <c r="D235" t="inlineStr">
        <is>
          <t>N/A</t>
        </is>
      </c>
      <c r="E235" t="inlineStr"/>
      <c r="F235" t="inlineStr">
        <is>
          <t>متنوع</t>
        </is>
      </c>
      <c r="G235" t="inlineStr"/>
      <c r="H235" t="inlineStr">
        <is>
          <t>1,000.00</t>
        </is>
      </c>
      <c r="I235" t="inlineStr">
        <is>
          <t>أدوات صحية</t>
        </is>
      </c>
    </row>
    <row r="236">
      <c r="A236">
        <f>IMAGE("https://files.manuscdn.com/user_upload_by_module/session_file/310519663766182518/pXEzcHrAhKITlnAk.png")</f>
        <v/>
      </c>
      <c r="B236" t="inlineStr">
        <is>
          <t>product_page039_item00</t>
        </is>
      </c>
      <c r="C236" t="inlineStr">
        <is>
          <t>Blocko</t>
        </is>
      </c>
      <c r="D236" t="inlineStr">
        <is>
          <t>N/A</t>
        </is>
      </c>
      <c r="E236" t="inlineStr"/>
      <c r="F236" t="inlineStr">
        <is>
          <t>متنوع</t>
        </is>
      </c>
      <c r="G236" t="inlineStr"/>
      <c r="H236" t="inlineStr">
        <is>
          <t>1,000.00</t>
        </is>
      </c>
      <c r="I236" t="inlineStr">
        <is>
          <t>أدوات صحية</t>
        </is>
      </c>
    </row>
    <row r="237">
      <c r="A237">
        <f>IMAGE("https://files.manuscdn.com/user_upload_by_module/session_file/310519663766182518/jOMcLcgxqvaNCBZp.png")</f>
        <v/>
      </c>
      <c r="B237" t="inlineStr">
        <is>
          <t>product_page039_item01</t>
        </is>
      </c>
      <c r="C237" t="inlineStr">
        <is>
          <t>Blocko</t>
        </is>
      </c>
      <c r="D237" t="inlineStr">
        <is>
          <t>N/A</t>
        </is>
      </c>
      <c r="E237" t="inlineStr"/>
      <c r="F237" t="inlineStr">
        <is>
          <t>متنوع</t>
        </is>
      </c>
      <c r="G237" t="inlineStr"/>
      <c r="H237" t="inlineStr">
        <is>
          <t>1,000.00</t>
        </is>
      </c>
      <c r="I237" t="inlineStr">
        <is>
          <t>أدوات صحية</t>
        </is>
      </c>
    </row>
    <row r="238">
      <c r="A238">
        <f>IMAGE("https://files.manuscdn.com/user_upload_by_module/session_file/310519663766182518/OaappRAbuRruxdxT.png")</f>
        <v/>
      </c>
      <c r="B238" t="inlineStr">
        <is>
          <t>product_page039_item02</t>
        </is>
      </c>
      <c r="C238" t="inlineStr">
        <is>
          <t>Blocko</t>
        </is>
      </c>
      <c r="D238" t="inlineStr">
        <is>
          <t>N/A</t>
        </is>
      </c>
      <c r="E238" t="inlineStr"/>
      <c r="F238" t="inlineStr">
        <is>
          <t>متنوع</t>
        </is>
      </c>
      <c r="G238" t="inlineStr"/>
      <c r="H238" t="inlineStr">
        <is>
          <t>1,000.00</t>
        </is>
      </c>
      <c r="I238" t="inlineStr">
        <is>
          <t>أدوات صحية</t>
        </is>
      </c>
    </row>
    <row r="239">
      <c r="A239">
        <f>IMAGE("https://files.manuscdn.com/user_upload_by_module/session_file/310519663766182518/gImRLXTJtrEQfpCg.png")</f>
        <v/>
      </c>
      <c r="B239" t="inlineStr">
        <is>
          <t>product_page039_item03</t>
        </is>
      </c>
      <c r="C239" t="inlineStr">
        <is>
          <t>Blocko</t>
        </is>
      </c>
      <c r="D239" t="inlineStr">
        <is>
          <t>N/A</t>
        </is>
      </c>
      <c r="E239" t="inlineStr"/>
      <c r="F239" t="inlineStr">
        <is>
          <t>متنوع</t>
        </is>
      </c>
      <c r="G239" t="inlineStr"/>
      <c r="H239" t="inlineStr">
        <is>
          <t>1,000.00</t>
        </is>
      </c>
      <c r="I239" t="inlineStr">
        <is>
          <t>أدوات صحية</t>
        </is>
      </c>
    </row>
    <row r="240">
      <c r="A240">
        <f>IMAGE("https://files.manuscdn.com/user_upload_by_module/session_file/310519663766182518/JGbNnWzrhUsDgEuP.png")</f>
        <v/>
      </c>
      <c r="B240" t="inlineStr">
        <is>
          <t>product_page039_item04</t>
        </is>
      </c>
      <c r="C240" t="inlineStr">
        <is>
          <t>Blocko</t>
        </is>
      </c>
      <c r="D240" t="inlineStr">
        <is>
          <t>N/A</t>
        </is>
      </c>
      <c r="E240" t="inlineStr"/>
      <c r="F240" t="inlineStr">
        <is>
          <t>متنوع</t>
        </is>
      </c>
      <c r="G240" t="inlineStr"/>
      <c r="H240" t="inlineStr">
        <is>
          <t>1,000.00</t>
        </is>
      </c>
      <c r="I240" t="inlineStr">
        <is>
          <t>أدوات صحية</t>
        </is>
      </c>
    </row>
    <row r="241">
      <c r="A241">
        <f>IMAGE("https://files.manuscdn.com/user_upload_by_module/session_file/310519663766182518/ZwxBHrzkMwinMYEF.png")</f>
        <v/>
      </c>
      <c r="B241" t="inlineStr">
        <is>
          <t>product_page039_item05</t>
        </is>
      </c>
      <c r="C241" t="inlineStr">
        <is>
          <t>Blocko</t>
        </is>
      </c>
      <c r="D241" t="inlineStr">
        <is>
          <t>N/A</t>
        </is>
      </c>
      <c r="E241" t="inlineStr"/>
      <c r="F241" t="inlineStr">
        <is>
          <t>متنوع</t>
        </is>
      </c>
      <c r="G241" t="inlineStr"/>
      <c r="H241" t="inlineStr">
        <is>
          <t>1,000.00</t>
        </is>
      </c>
      <c r="I241" t="inlineStr">
        <is>
          <t>أدوات صحية</t>
        </is>
      </c>
    </row>
    <row r="242">
      <c r="A242">
        <f>IMAGE("https://files.manuscdn.com/user_upload_by_module/session_file/310519663766182518/YJUbTwIgqGQNFZgd.png")</f>
        <v/>
      </c>
      <c r="B242" t="inlineStr">
        <is>
          <t>product_page039_item06</t>
        </is>
      </c>
      <c r="C242" t="inlineStr">
        <is>
          <t>Blocko</t>
        </is>
      </c>
      <c r="D242" t="inlineStr">
        <is>
          <t>N/A</t>
        </is>
      </c>
      <c r="E242" t="inlineStr"/>
      <c r="F242" t="inlineStr">
        <is>
          <t>متنوع</t>
        </is>
      </c>
      <c r="G242" t="inlineStr"/>
      <c r="H242" t="inlineStr">
        <is>
          <t>1,000.00</t>
        </is>
      </c>
      <c r="I242" t="inlineStr">
        <is>
          <t>أدوات صحية</t>
        </is>
      </c>
    </row>
    <row r="243">
      <c r="A243">
        <f>IMAGE("https://files.manuscdn.com/user_upload_by_module/session_file/310519663766182518/oKKhTePXhjAWLMmp.png")</f>
        <v/>
      </c>
      <c r="B243" t="inlineStr">
        <is>
          <t>product_page039_item07</t>
        </is>
      </c>
      <c r="C243" t="inlineStr">
        <is>
          <t>Blocko</t>
        </is>
      </c>
      <c r="D243" t="inlineStr">
        <is>
          <t>N/A</t>
        </is>
      </c>
      <c r="E243" t="inlineStr"/>
      <c r="F243" t="inlineStr">
        <is>
          <t>متنوع</t>
        </is>
      </c>
      <c r="G243" t="inlineStr"/>
      <c r="H243" t="inlineStr">
        <is>
          <t>1,000.00</t>
        </is>
      </c>
      <c r="I243" t="inlineStr">
        <is>
          <t>أدوات صحية</t>
        </is>
      </c>
    </row>
    <row r="244">
      <c r="A244">
        <f>IMAGE("https://files.manuscdn.com/user_upload_by_module/session_file/310519663766182518/DbVIMzOgjyJnxeaS.png")</f>
        <v/>
      </c>
      <c r="B244" t="inlineStr">
        <is>
          <t>product_page039_item08</t>
        </is>
      </c>
      <c r="C244" t="inlineStr">
        <is>
          <t>Blocko</t>
        </is>
      </c>
      <c r="D244" t="inlineStr">
        <is>
          <t>N/A</t>
        </is>
      </c>
      <c r="E244" t="inlineStr"/>
      <c r="F244" t="inlineStr">
        <is>
          <t>متنوع</t>
        </is>
      </c>
      <c r="G244" t="inlineStr"/>
      <c r="H244" t="inlineStr">
        <is>
          <t>1,000.00</t>
        </is>
      </c>
      <c r="I244" t="inlineStr">
        <is>
          <t>أدوات صحية</t>
        </is>
      </c>
    </row>
    <row r="245">
      <c r="A245">
        <f>IMAGE("https://files.manuscdn.com/user_upload_by_module/session_file/310519663766182518/THCMmpLIiFYtgbIO.png")</f>
        <v/>
      </c>
      <c r="B245" t="inlineStr">
        <is>
          <t>product_page039_item09</t>
        </is>
      </c>
      <c r="C245" t="inlineStr">
        <is>
          <t>Blocko</t>
        </is>
      </c>
      <c r="D245" t="inlineStr">
        <is>
          <t>N/A</t>
        </is>
      </c>
      <c r="E245" t="inlineStr"/>
      <c r="F245" t="inlineStr">
        <is>
          <t>متنوع</t>
        </is>
      </c>
      <c r="G245" t="inlineStr"/>
      <c r="H245" t="inlineStr">
        <is>
          <t>1,000.00</t>
        </is>
      </c>
      <c r="I245" t="inlineStr">
        <is>
          <t>أدوات صحية</t>
        </is>
      </c>
    </row>
    <row r="246">
      <c r="A246">
        <f>IMAGE("https://files.manuscdn.com/user_upload_by_module/session_file/310519663766182518/XOhCjtBsRrAAURxw.png")</f>
        <v/>
      </c>
      <c r="B246" t="inlineStr">
        <is>
          <t>product_page039_item10</t>
        </is>
      </c>
      <c r="C246" t="inlineStr">
        <is>
          <t>Blocko</t>
        </is>
      </c>
      <c r="D246" t="inlineStr">
        <is>
          <t>N/A</t>
        </is>
      </c>
      <c r="E246" t="inlineStr"/>
      <c r="F246" t="inlineStr">
        <is>
          <t>متنوع</t>
        </is>
      </c>
      <c r="G246" t="inlineStr"/>
      <c r="H246" t="inlineStr">
        <is>
          <t>1,000.00</t>
        </is>
      </c>
      <c r="I246" t="inlineStr">
        <is>
          <t>أدوات صحية</t>
        </is>
      </c>
    </row>
    <row r="247">
      <c r="A247">
        <f>IMAGE("https://files.manuscdn.com/user_upload_by_module/session_file/310519663766182518/jqaymfMgpiEYThlQ.png")</f>
        <v/>
      </c>
      <c r="B247" t="inlineStr">
        <is>
          <t>product_page039_item11</t>
        </is>
      </c>
      <c r="C247" t="inlineStr">
        <is>
          <t>Blocko</t>
        </is>
      </c>
      <c r="D247" t="inlineStr">
        <is>
          <t>N/A</t>
        </is>
      </c>
      <c r="E247" t="inlineStr"/>
      <c r="F247" t="inlineStr">
        <is>
          <t>متنوع</t>
        </is>
      </c>
      <c r="G247" t="inlineStr"/>
      <c r="H247" t="inlineStr">
        <is>
          <t>1,000.00</t>
        </is>
      </c>
      <c r="I247" t="inlineStr">
        <is>
          <t>أدوات صحية</t>
        </is>
      </c>
    </row>
    <row r="248">
      <c r="A248">
        <f>IMAGE("https://files.manuscdn.com/user_upload_by_module/session_file/310519663766182518/JsWdYkOhMoEGGyFl.png")</f>
        <v/>
      </c>
      <c r="B248" t="inlineStr">
        <is>
          <t>product_page040_item00</t>
        </is>
      </c>
      <c r="C248" t="inlineStr">
        <is>
          <t>Blocko</t>
        </is>
      </c>
      <c r="D248" t="inlineStr">
        <is>
          <t>N/A</t>
        </is>
      </c>
      <c r="E248" t="inlineStr"/>
      <c r="F248" t="inlineStr">
        <is>
          <t>متنوع</t>
        </is>
      </c>
      <c r="G248" t="inlineStr"/>
      <c r="H248" t="inlineStr">
        <is>
          <t>1,000.00</t>
        </is>
      </c>
      <c r="I248" t="inlineStr">
        <is>
          <t>أدوات صحية</t>
        </is>
      </c>
    </row>
    <row r="249">
      <c r="A249">
        <f>IMAGE("https://files.manuscdn.com/user_upload_by_module/session_file/310519663766182518/qVOgHsddULfZCbBi.png")</f>
        <v/>
      </c>
      <c r="B249" t="inlineStr">
        <is>
          <t>product_page040_item01</t>
        </is>
      </c>
      <c r="C249" t="inlineStr">
        <is>
          <t>Blocko</t>
        </is>
      </c>
      <c r="D249" t="inlineStr">
        <is>
          <t>N/A</t>
        </is>
      </c>
      <c r="E249" t="inlineStr"/>
      <c r="F249" t="inlineStr">
        <is>
          <t>متنوع</t>
        </is>
      </c>
      <c r="G249" t="inlineStr"/>
      <c r="H249" t="inlineStr">
        <is>
          <t>1,000.00</t>
        </is>
      </c>
      <c r="I249" t="inlineStr">
        <is>
          <t>أدوات صحية</t>
        </is>
      </c>
    </row>
    <row r="250">
      <c r="A250">
        <f>IMAGE("https://files.manuscdn.com/user_upload_by_module/session_file/310519663766182518/zhzDtjlXMnCOXWPL.png")</f>
        <v/>
      </c>
      <c r="B250" t="inlineStr">
        <is>
          <t>product_page040_item02</t>
        </is>
      </c>
      <c r="C250" t="inlineStr">
        <is>
          <t>Blocko</t>
        </is>
      </c>
      <c r="D250" t="inlineStr">
        <is>
          <t>N/A</t>
        </is>
      </c>
      <c r="E250" t="inlineStr"/>
      <c r="F250" t="inlineStr">
        <is>
          <t>متنوع</t>
        </is>
      </c>
      <c r="G250" t="inlineStr"/>
      <c r="H250" t="inlineStr">
        <is>
          <t>1,000.00</t>
        </is>
      </c>
      <c r="I250" t="inlineStr">
        <is>
          <t>أدوات صحية</t>
        </is>
      </c>
    </row>
    <row r="251">
      <c r="A251">
        <f>IMAGE("https://files.manuscdn.com/user_upload_by_module/session_file/310519663766182518/lzKyZUguqgIfGybp.png")</f>
        <v/>
      </c>
      <c r="B251" t="inlineStr">
        <is>
          <t>product_page040_item03</t>
        </is>
      </c>
      <c r="C251" t="inlineStr">
        <is>
          <t>Blocko</t>
        </is>
      </c>
      <c r="D251" t="inlineStr">
        <is>
          <t>N/A</t>
        </is>
      </c>
      <c r="E251" t="inlineStr"/>
      <c r="F251" t="inlineStr">
        <is>
          <t>متنوع</t>
        </is>
      </c>
      <c r="G251" t="inlineStr"/>
      <c r="H251" t="inlineStr">
        <is>
          <t>1,000.00</t>
        </is>
      </c>
      <c r="I251" t="inlineStr">
        <is>
          <t>أدوات صحية</t>
        </is>
      </c>
    </row>
    <row r="252">
      <c r="A252">
        <f>IMAGE("https://files.manuscdn.com/user_upload_by_module/session_file/310519663766182518/icGyIaEsBxUTbmzM.png")</f>
        <v/>
      </c>
      <c r="B252" t="inlineStr">
        <is>
          <t>product_page040_item04</t>
        </is>
      </c>
      <c r="C252" t="inlineStr">
        <is>
          <t>Blocko</t>
        </is>
      </c>
      <c r="D252" t="inlineStr">
        <is>
          <t>N/A</t>
        </is>
      </c>
      <c r="E252" t="inlineStr"/>
      <c r="F252" t="inlineStr">
        <is>
          <t>متنوع</t>
        </is>
      </c>
      <c r="G252" t="inlineStr"/>
      <c r="H252" t="inlineStr">
        <is>
          <t>1,000.00</t>
        </is>
      </c>
      <c r="I252" t="inlineStr">
        <is>
          <t>أدوات صحية</t>
        </is>
      </c>
    </row>
    <row r="253">
      <c r="A253">
        <f>IMAGE("https://files.manuscdn.com/user_upload_by_module/session_file/310519663766182518/mkacmPgSGUjlgrfs.png")</f>
        <v/>
      </c>
      <c r="B253" t="inlineStr">
        <is>
          <t>product_page040_item05</t>
        </is>
      </c>
      <c r="C253" t="inlineStr">
        <is>
          <t>Blocko</t>
        </is>
      </c>
      <c r="D253" t="inlineStr">
        <is>
          <t>N/A</t>
        </is>
      </c>
      <c r="E253" t="inlineStr"/>
      <c r="F253" t="inlineStr">
        <is>
          <t>متنوع</t>
        </is>
      </c>
      <c r="G253" t="inlineStr"/>
      <c r="H253" t="inlineStr">
        <is>
          <t>1,000.00</t>
        </is>
      </c>
      <c r="I253" t="inlineStr">
        <is>
          <t>أدوات صحية</t>
        </is>
      </c>
    </row>
    <row r="254">
      <c r="A254">
        <f>IMAGE("https://files.manuscdn.com/user_upload_by_module/session_file/310519663766182518/crQtrNDNnrIuYcEh.png")</f>
        <v/>
      </c>
      <c r="B254" t="inlineStr">
        <is>
          <t>product_page041_item00</t>
        </is>
      </c>
      <c r="C254" t="inlineStr">
        <is>
          <t>Blocko</t>
        </is>
      </c>
      <c r="D254" t="inlineStr">
        <is>
          <t>N/A</t>
        </is>
      </c>
      <c r="E254" t="inlineStr"/>
      <c r="F254" t="inlineStr">
        <is>
          <t>متنوع</t>
        </is>
      </c>
      <c r="G254" t="inlineStr"/>
      <c r="H254" t="inlineStr">
        <is>
          <t>1,000.00</t>
        </is>
      </c>
      <c r="I254" t="inlineStr">
        <is>
          <t>أدوات صحية</t>
        </is>
      </c>
    </row>
    <row r="255">
      <c r="A255">
        <f>IMAGE("https://files.manuscdn.com/user_upload_by_module/session_file/310519663766182518/PRjbHjRwHVnXFWnS.png")</f>
        <v/>
      </c>
      <c r="B255" t="inlineStr">
        <is>
          <t>product_page041_item01</t>
        </is>
      </c>
      <c r="C255" t="inlineStr">
        <is>
          <t>Blocko</t>
        </is>
      </c>
      <c r="D255" t="inlineStr">
        <is>
          <t>N/A</t>
        </is>
      </c>
      <c r="E255" t="inlineStr"/>
      <c r="F255" t="inlineStr">
        <is>
          <t>متنوع</t>
        </is>
      </c>
      <c r="G255" t="inlineStr"/>
      <c r="H255" t="inlineStr">
        <is>
          <t>1,000.00</t>
        </is>
      </c>
      <c r="I255" t="inlineStr">
        <is>
          <t>أدوات صحية</t>
        </is>
      </c>
    </row>
    <row r="256">
      <c r="A256">
        <f>IMAGE("https://files.manuscdn.com/user_upload_by_module/session_file/310519663766182518/BRAMFRloELEClChH.png")</f>
        <v/>
      </c>
      <c r="B256" t="inlineStr">
        <is>
          <t>product_page041_item02</t>
        </is>
      </c>
      <c r="C256" t="inlineStr">
        <is>
          <t>Blocko</t>
        </is>
      </c>
      <c r="D256" t="inlineStr">
        <is>
          <t>N/A</t>
        </is>
      </c>
      <c r="E256" t="inlineStr"/>
      <c r="F256" t="inlineStr">
        <is>
          <t>متنوع</t>
        </is>
      </c>
      <c r="G256" t="inlineStr"/>
      <c r="H256" t="inlineStr">
        <is>
          <t>1,000.00</t>
        </is>
      </c>
      <c r="I256" t="inlineStr">
        <is>
          <t>أدوات صحية</t>
        </is>
      </c>
    </row>
    <row r="257">
      <c r="A257">
        <f>IMAGE("https://files.manuscdn.com/user_upload_by_module/session_file/310519663766182518/CfrQvnzuLeQfvXlK.png")</f>
        <v/>
      </c>
      <c r="B257" t="inlineStr">
        <is>
          <t>product_page041_item03</t>
        </is>
      </c>
      <c r="C257" t="inlineStr">
        <is>
          <t>Blocko</t>
        </is>
      </c>
      <c r="D257" t="inlineStr">
        <is>
          <t>N/A</t>
        </is>
      </c>
      <c r="E257" t="inlineStr"/>
      <c r="F257" t="inlineStr">
        <is>
          <t>متنوع</t>
        </is>
      </c>
      <c r="G257" t="inlineStr"/>
      <c r="H257" t="inlineStr">
        <is>
          <t>1,000.00</t>
        </is>
      </c>
      <c r="I257" t="inlineStr">
        <is>
          <t>أدوات صحية</t>
        </is>
      </c>
    </row>
    <row r="258">
      <c r="A258">
        <f>IMAGE("https://files.manuscdn.com/user_upload_by_module/session_file/310519663766182518/GZXGaNOxYMVjuXtE.png")</f>
        <v/>
      </c>
      <c r="B258" t="inlineStr">
        <is>
          <t>product_page041_item04</t>
        </is>
      </c>
      <c r="C258" t="inlineStr">
        <is>
          <t>Blocko</t>
        </is>
      </c>
      <c r="D258" t="inlineStr">
        <is>
          <t>N/A</t>
        </is>
      </c>
      <c r="E258" t="inlineStr"/>
      <c r="F258" t="inlineStr">
        <is>
          <t>متنوع</t>
        </is>
      </c>
      <c r="G258" t="inlineStr"/>
      <c r="H258" t="inlineStr">
        <is>
          <t>1,000.00</t>
        </is>
      </c>
      <c r="I258" t="inlineStr">
        <is>
          <t>أدوات صحية</t>
        </is>
      </c>
    </row>
    <row r="259">
      <c r="A259">
        <f>IMAGE("https://files.manuscdn.com/user_upload_by_module/session_file/310519663766182518/YrrSzsCmamkqEOCW.png")</f>
        <v/>
      </c>
      <c r="B259" t="inlineStr">
        <is>
          <t>product_page041_item05</t>
        </is>
      </c>
      <c r="C259" t="inlineStr">
        <is>
          <t>Blocko</t>
        </is>
      </c>
      <c r="D259" t="inlineStr">
        <is>
          <t>N/A</t>
        </is>
      </c>
      <c r="E259" t="inlineStr"/>
      <c r="F259" t="inlineStr">
        <is>
          <t>متنوع</t>
        </is>
      </c>
      <c r="G259" t="inlineStr"/>
      <c r="H259" t="inlineStr">
        <is>
          <t>1,000.00</t>
        </is>
      </c>
      <c r="I259" t="inlineStr">
        <is>
          <t>أدوات صحية</t>
        </is>
      </c>
    </row>
    <row r="260">
      <c r="A260">
        <f>IMAGE("https://files.manuscdn.com/user_upload_by_module/session_file/310519663766182518/JRDnLepMFrBxCBJh.png")</f>
        <v/>
      </c>
      <c r="B260" t="inlineStr">
        <is>
          <t>product_page042_item00</t>
        </is>
      </c>
      <c r="C260" t="inlineStr">
        <is>
          <t>Blocko</t>
        </is>
      </c>
      <c r="D260" t="inlineStr">
        <is>
          <t>N/A</t>
        </is>
      </c>
      <c r="E260" t="inlineStr"/>
      <c r="F260" t="inlineStr">
        <is>
          <t>متنوع</t>
        </is>
      </c>
      <c r="G260" t="inlineStr"/>
      <c r="H260" t="inlineStr">
        <is>
          <t>1,000.00</t>
        </is>
      </c>
      <c r="I260" t="inlineStr">
        <is>
          <t>أدوات صحية</t>
        </is>
      </c>
    </row>
    <row r="261">
      <c r="A261">
        <f>IMAGE("https://files.manuscdn.com/user_upload_by_module/session_file/310519663766182518/gbwJaPOOZEtUKRKW.png")</f>
        <v/>
      </c>
      <c r="B261" t="inlineStr">
        <is>
          <t>product_page042_item01</t>
        </is>
      </c>
      <c r="C261" t="inlineStr">
        <is>
          <t>Blocko</t>
        </is>
      </c>
      <c r="D261" t="inlineStr">
        <is>
          <t>N/A</t>
        </is>
      </c>
      <c r="E261" t="inlineStr"/>
      <c r="F261" t="inlineStr">
        <is>
          <t>متنوع</t>
        </is>
      </c>
      <c r="G261" t="inlineStr"/>
      <c r="H261" t="inlineStr">
        <is>
          <t>1,000.00</t>
        </is>
      </c>
      <c r="I261" t="inlineStr">
        <is>
          <t>أدوات صحية</t>
        </is>
      </c>
    </row>
    <row r="262">
      <c r="A262">
        <f>IMAGE("https://files.manuscdn.com/user_upload_by_module/session_file/310519663766182518/MPyTDvGYKyuPUOBu.png")</f>
        <v/>
      </c>
      <c r="B262" t="inlineStr">
        <is>
          <t>product_page042_item02</t>
        </is>
      </c>
      <c r="C262" t="inlineStr">
        <is>
          <t>Blocko</t>
        </is>
      </c>
      <c r="D262" t="inlineStr">
        <is>
          <t>N/A</t>
        </is>
      </c>
      <c r="E262" t="inlineStr"/>
      <c r="F262" t="inlineStr">
        <is>
          <t>متنوع</t>
        </is>
      </c>
      <c r="G262" t="inlineStr"/>
      <c r="H262" t="inlineStr">
        <is>
          <t>1,000.00</t>
        </is>
      </c>
      <c r="I262" t="inlineStr">
        <is>
          <t>أدوات صحية</t>
        </is>
      </c>
    </row>
    <row r="263">
      <c r="A263">
        <f>IMAGE("https://files.manuscdn.com/user_upload_by_module/session_file/310519663766182518/kTMSJHPNpWJpuXcj.png")</f>
        <v/>
      </c>
      <c r="B263" t="inlineStr">
        <is>
          <t>product_page042_item03</t>
        </is>
      </c>
      <c r="C263" t="inlineStr">
        <is>
          <t>Blocko</t>
        </is>
      </c>
      <c r="D263" t="inlineStr">
        <is>
          <t>N/A</t>
        </is>
      </c>
      <c r="E263" t="inlineStr"/>
      <c r="F263" t="inlineStr">
        <is>
          <t>متنوع</t>
        </is>
      </c>
      <c r="G263" t="inlineStr"/>
      <c r="H263" t="inlineStr">
        <is>
          <t>1,000.00</t>
        </is>
      </c>
      <c r="I263" t="inlineStr">
        <is>
          <t>أدوات صحية</t>
        </is>
      </c>
    </row>
    <row r="264">
      <c r="A264">
        <f>IMAGE("https://files.manuscdn.com/user_upload_by_module/session_file/310519663766182518/bgJPcxHEhjpeyhby.png")</f>
        <v/>
      </c>
      <c r="B264" t="inlineStr">
        <is>
          <t>product_page042_item04</t>
        </is>
      </c>
      <c r="C264" t="inlineStr">
        <is>
          <t>Blocko</t>
        </is>
      </c>
      <c r="D264" t="inlineStr">
        <is>
          <t>N/A</t>
        </is>
      </c>
      <c r="E264" t="inlineStr"/>
      <c r="F264" t="inlineStr">
        <is>
          <t>متنوع</t>
        </is>
      </c>
      <c r="G264" t="inlineStr"/>
      <c r="H264" t="inlineStr">
        <is>
          <t>1,000.00</t>
        </is>
      </c>
      <c r="I264" t="inlineStr">
        <is>
          <t>أدوات صحية</t>
        </is>
      </c>
    </row>
    <row r="265">
      <c r="A265">
        <f>IMAGE("https://files.manuscdn.com/user_upload_by_module/session_file/310519663766182518/rpLktyNCwxDZWvBE.png")</f>
        <v/>
      </c>
      <c r="B265" t="inlineStr">
        <is>
          <t>product_page042_item05</t>
        </is>
      </c>
      <c r="C265" t="inlineStr">
        <is>
          <t>Blocko</t>
        </is>
      </c>
      <c r="D265" t="inlineStr">
        <is>
          <t>N/A</t>
        </is>
      </c>
      <c r="E265" t="inlineStr"/>
      <c r="F265" t="inlineStr">
        <is>
          <t>متنوع</t>
        </is>
      </c>
      <c r="G265" t="inlineStr"/>
      <c r="H265" t="inlineStr">
        <is>
          <t>1,000.00</t>
        </is>
      </c>
      <c r="I265" t="inlineStr">
        <is>
          <t>أدوات صحية</t>
        </is>
      </c>
    </row>
    <row r="266">
      <c r="A266">
        <f>IMAGE("https://files.manuscdn.com/user_upload_by_module/session_file/310519663766182518/BetDapuSypMnerEP.png")</f>
        <v/>
      </c>
      <c r="B266" t="inlineStr">
        <is>
          <t>product_page042_item06</t>
        </is>
      </c>
      <c r="C266" t="inlineStr">
        <is>
          <t>Blocko</t>
        </is>
      </c>
      <c r="D266" t="inlineStr">
        <is>
          <t>N/A</t>
        </is>
      </c>
      <c r="E266" t="inlineStr"/>
      <c r="F266" t="inlineStr">
        <is>
          <t>متنوع</t>
        </is>
      </c>
      <c r="G266" t="inlineStr"/>
      <c r="H266" t="inlineStr">
        <is>
          <t>1,000.00</t>
        </is>
      </c>
      <c r="I266" t="inlineStr">
        <is>
          <t>أدوات صحية</t>
        </is>
      </c>
    </row>
    <row r="267">
      <c r="A267">
        <f>IMAGE("https://files.manuscdn.com/user_upload_by_module/session_file/310519663766182518/GkJLjwgHiHnDfzki.png")</f>
        <v/>
      </c>
      <c r="B267" t="inlineStr">
        <is>
          <t>product_page042_item07</t>
        </is>
      </c>
      <c r="C267" t="inlineStr">
        <is>
          <t>Blocko</t>
        </is>
      </c>
      <c r="D267" t="inlineStr">
        <is>
          <t>N/A</t>
        </is>
      </c>
      <c r="E267" t="inlineStr"/>
      <c r="F267" t="inlineStr">
        <is>
          <t>متنوع</t>
        </is>
      </c>
      <c r="G267" t="inlineStr"/>
      <c r="H267" t="inlineStr">
        <is>
          <t>1,000.00</t>
        </is>
      </c>
      <c r="I267" t="inlineStr">
        <is>
          <t>أدوات صحية</t>
        </is>
      </c>
    </row>
    <row r="268">
      <c r="A268">
        <f>IMAGE("https://files.manuscdn.com/user_upload_by_module/session_file/310519663766182518/JyetsIiNViHBHEeg.png")</f>
        <v/>
      </c>
      <c r="B268" t="inlineStr">
        <is>
          <t>product_page043_item00</t>
        </is>
      </c>
      <c r="C268" t="inlineStr">
        <is>
          <t>Blocko</t>
        </is>
      </c>
      <c r="D268" t="inlineStr">
        <is>
          <t>N/A</t>
        </is>
      </c>
      <c r="E268" t="inlineStr"/>
      <c r="F268" t="inlineStr">
        <is>
          <t>متنوع</t>
        </is>
      </c>
      <c r="G268" t="inlineStr"/>
      <c r="H268" t="inlineStr">
        <is>
          <t>1,000.00</t>
        </is>
      </c>
      <c r="I268" t="inlineStr">
        <is>
          <t>أدوات صحية</t>
        </is>
      </c>
    </row>
    <row r="269">
      <c r="A269">
        <f>IMAGE("https://files.manuscdn.com/user_upload_by_module/session_file/310519663766182518/rKnVURvFVwZLCAdw.png")</f>
        <v/>
      </c>
      <c r="B269" t="inlineStr">
        <is>
          <t>product_page043_item01</t>
        </is>
      </c>
      <c r="C269" t="inlineStr">
        <is>
          <t>Blocko</t>
        </is>
      </c>
      <c r="D269" t="inlineStr">
        <is>
          <t>N/A</t>
        </is>
      </c>
      <c r="E269" t="inlineStr"/>
      <c r="F269" t="inlineStr">
        <is>
          <t>متنوع</t>
        </is>
      </c>
      <c r="G269" t="inlineStr"/>
      <c r="H269" t="inlineStr">
        <is>
          <t>1,000.00</t>
        </is>
      </c>
      <c r="I269" t="inlineStr">
        <is>
          <t>أدوات صحية</t>
        </is>
      </c>
    </row>
    <row r="270">
      <c r="A270">
        <f>IMAGE("https://files.manuscdn.com/user_upload_by_module/session_file/310519663766182518/ZGSwqfhlTfLiWoGS.png")</f>
        <v/>
      </c>
      <c r="B270" t="inlineStr">
        <is>
          <t>product_page043_item02</t>
        </is>
      </c>
      <c r="C270" t="inlineStr">
        <is>
          <t>Blocko</t>
        </is>
      </c>
      <c r="D270" t="inlineStr">
        <is>
          <t>N/A</t>
        </is>
      </c>
      <c r="E270" t="inlineStr"/>
      <c r="F270" t="inlineStr">
        <is>
          <t>متنوع</t>
        </is>
      </c>
      <c r="G270" t="inlineStr"/>
      <c r="H270" t="inlineStr">
        <is>
          <t>1,000.00</t>
        </is>
      </c>
      <c r="I270" t="inlineStr">
        <is>
          <t>أدوات صحية</t>
        </is>
      </c>
    </row>
    <row r="271">
      <c r="A271">
        <f>IMAGE("https://files.manuscdn.com/user_upload_by_module/session_file/310519663766182518/VkIeiuMPvIMSkMoA.png")</f>
        <v/>
      </c>
      <c r="B271" t="inlineStr">
        <is>
          <t>product_page043_item03</t>
        </is>
      </c>
      <c r="C271" t="inlineStr">
        <is>
          <t>Blocko</t>
        </is>
      </c>
      <c r="D271" t="inlineStr">
        <is>
          <t>N/A</t>
        </is>
      </c>
      <c r="E271" t="inlineStr"/>
      <c r="F271" t="inlineStr">
        <is>
          <t>متنوع</t>
        </is>
      </c>
      <c r="G271" t="inlineStr"/>
      <c r="H271" t="inlineStr">
        <is>
          <t>1,000.00</t>
        </is>
      </c>
      <c r="I271" t="inlineStr">
        <is>
          <t>أدوات صحية</t>
        </is>
      </c>
    </row>
    <row r="272">
      <c r="A272">
        <f>IMAGE("https://files.manuscdn.com/user_upload_by_module/session_file/310519663766182518/jAspAJSAozUUtbfA.png")</f>
        <v/>
      </c>
      <c r="B272" t="inlineStr">
        <is>
          <t>product_page044_item00</t>
        </is>
      </c>
      <c r="C272" t="inlineStr">
        <is>
          <t>Blocko</t>
        </is>
      </c>
      <c r="D272" t="inlineStr">
        <is>
          <t>N/A</t>
        </is>
      </c>
      <c r="E272" t="inlineStr"/>
      <c r="F272" t="inlineStr">
        <is>
          <t>متنوع</t>
        </is>
      </c>
      <c r="G272" t="inlineStr"/>
      <c r="H272" t="inlineStr">
        <is>
          <t>1,000.00</t>
        </is>
      </c>
      <c r="I272" t="inlineStr">
        <is>
          <t>أدوات صحية</t>
        </is>
      </c>
    </row>
    <row r="273">
      <c r="A273">
        <f>IMAGE("https://files.manuscdn.com/user_upload_by_module/session_file/310519663766182518/tbLFfpyzDfsDCAuy.png")</f>
        <v/>
      </c>
      <c r="B273" t="inlineStr">
        <is>
          <t>product_page044_item01</t>
        </is>
      </c>
      <c r="C273" t="inlineStr">
        <is>
          <t>Blocko</t>
        </is>
      </c>
      <c r="D273" t="inlineStr">
        <is>
          <t>N/A</t>
        </is>
      </c>
      <c r="E273" t="inlineStr"/>
      <c r="F273" t="inlineStr">
        <is>
          <t>متنوع</t>
        </is>
      </c>
      <c r="G273" t="inlineStr"/>
      <c r="H273" t="inlineStr">
        <is>
          <t>1,000.00</t>
        </is>
      </c>
      <c r="I273" t="inlineStr">
        <is>
          <t>أدوات صحية</t>
        </is>
      </c>
    </row>
    <row r="274">
      <c r="A274">
        <f>IMAGE("https://files.manuscdn.com/user_upload_by_module/session_file/310519663766182518/JlEOMyHIncOOtXPK.png")</f>
        <v/>
      </c>
      <c r="B274" t="inlineStr">
        <is>
          <t>product_page044_item02</t>
        </is>
      </c>
      <c r="C274" t="inlineStr">
        <is>
          <t>Blocko</t>
        </is>
      </c>
      <c r="D274" t="inlineStr">
        <is>
          <t>N/A</t>
        </is>
      </c>
      <c r="E274" t="inlineStr"/>
      <c r="F274" t="inlineStr">
        <is>
          <t>متنوع</t>
        </is>
      </c>
      <c r="G274" t="inlineStr"/>
      <c r="H274" t="inlineStr">
        <is>
          <t>1,000.00</t>
        </is>
      </c>
      <c r="I274" t="inlineStr">
        <is>
          <t>أدوات صحية</t>
        </is>
      </c>
    </row>
    <row r="275">
      <c r="A275">
        <f>IMAGE("https://files.manuscdn.com/user_upload_by_module/session_file/310519663766182518/AATfPoJjhkcNVrrV.png")</f>
        <v/>
      </c>
      <c r="B275" t="inlineStr">
        <is>
          <t>product_page044_item03</t>
        </is>
      </c>
      <c r="C275" t="inlineStr">
        <is>
          <t>Blocko</t>
        </is>
      </c>
      <c r="D275" t="inlineStr">
        <is>
          <t>N/A</t>
        </is>
      </c>
      <c r="E275" t="inlineStr"/>
      <c r="F275" t="inlineStr">
        <is>
          <t>متنوع</t>
        </is>
      </c>
      <c r="G275" t="inlineStr"/>
      <c r="H275" t="inlineStr">
        <is>
          <t>1,000.00</t>
        </is>
      </c>
      <c r="I275" t="inlineStr">
        <is>
          <t>أدوات صحية</t>
        </is>
      </c>
    </row>
    <row r="276">
      <c r="A276">
        <f>IMAGE("https://files.manuscdn.com/user_upload_by_module/session_file/310519663766182518/JdfKHagPYNaGTVvc.png")</f>
        <v/>
      </c>
      <c r="B276" t="inlineStr">
        <is>
          <t>product_page045_item00</t>
        </is>
      </c>
      <c r="C276" t="inlineStr">
        <is>
          <t>Blocko</t>
        </is>
      </c>
      <c r="D276" t="inlineStr">
        <is>
          <t>N/A</t>
        </is>
      </c>
      <c r="E276" t="inlineStr"/>
      <c r="F276" t="inlineStr">
        <is>
          <t>متنوع</t>
        </is>
      </c>
      <c r="G276" t="inlineStr"/>
      <c r="H276" t="inlineStr">
        <is>
          <t>1,000.00</t>
        </is>
      </c>
      <c r="I276" t="inlineStr">
        <is>
          <t>أدوات صحية</t>
        </is>
      </c>
    </row>
    <row r="277">
      <c r="A277">
        <f>IMAGE("https://files.manuscdn.com/user_upload_by_module/session_file/310519663766182518/qmobBQFAHpJoOSaH.png")</f>
        <v/>
      </c>
      <c r="B277" t="inlineStr">
        <is>
          <t>product_page045_item01</t>
        </is>
      </c>
      <c r="C277" t="inlineStr">
        <is>
          <t>Blocko</t>
        </is>
      </c>
      <c r="D277" t="inlineStr">
        <is>
          <t>N/A</t>
        </is>
      </c>
      <c r="E277" t="inlineStr"/>
      <c r="F277" t="inlineStr">
        <is>
          <t>متنوع</t>
        </is>
      </c>
      <c r="G277" t="inlineStr"/>
      <c r="H277" t="inlineStr">
        <is>
          <t>1,000.00</t>
        </is>
      </c>
      <c r="I277" t="inlineStr">
        <is>
          <t>أدوات صحية</t>
        </is>
      </c>
    </row>
    <row r="278">
      <c r="A278">
        <f>IMAGE("https://files.manuscdn.com/user_upload_by_module/session_file/310519663766182518/dEPjNBcMMBtdKdHX.png")</f>
        <v/>
      </c>
      <c r="B278" t="inlineStr">
        <is>
          <t>product_page045_item02</t>
        </is>
      </c>
      <c r="C278" t="inlineStr">
        <is>
          <t>Blocko</t>
        </is>
      </c>
      <c r="D278" t="inlineStr">
        <is>
          <t>N/A</t>
        </is>
      </c>
      <c r="E278" t="inlineStr"/>
      <c r="F278" t="inlineStr">
        <is>
          <t>متنوع</t>
        </is>
      </c>
      <c r="G278" t="inlineStr"/>
      <c r="H278" t="inlineStr">
        <is>
          <t>1,000.00</t>
        </is>
      </c>
      <c r="I278" t="inlineStr">
        <is>
          <t>أدوات صحية</t>
        </is>
      </c>
    </row>
    <row r="279">
      <c r="A279">
        <f>IMAGE("https://files.manuscdn.com/user_upload_by_module/session_file/310519663766182518/jmwwWbJpzpIdPTeG.png")</f>
        <v/>
      </c>
      <c r="B279" t="inlineStr">
        <is>
          <t>product_page045_item03</t>
        </is>
      </c>
      <c r="C279" t="inlineStr">
        <is>
          <t>Blocko</t>
        </is>
      </c>
      <c r="D279" t="inlineStr">
        <is>
          <t>N/A</t>
        </is>
      </c>
      <c r="E279" t="inlineStr"/>
      <c r="F279" t="inlineStr">
        <is>
          <t>متنوع</t>
        </is>
      </c>
      <c r="G279" t="inlineStr"/>
      <c r="H279" t="inlineStr">
        <is>
          <t>1,000.00</t>
        </is>
      </c>
      <c r="I279" t="inlineStr">
        <is>
          <t>أدوات صحية</t>
        </is>
      </c>
    </row>
    <row r="280">
      <c r="A280">
        <f>IMAGE("https://files.manuscdn.com/user_upload_by_module/session_file/310519663766182518/SfyuKzALLXburuLe.png")</f>
        <v/>
      </c>
      <c r="B280" t="inlineStr">
        <is>
          <t>product_page045_item04</t>
        </is>
      </c>
      <c r="C280" t="inlineStr">
        <is>
          <t>Blocko</t>
        </is>
      </c>
      <c r="D280" t="inlineStr">
        <is>
          <t>N/A</t>
        </is>
      </c>
      <c r="E280" t="inlineStr"/>
      <c r="F280" t="inlineStr">
        <is>
          <t>متنوع</t>
        </is>
      </c>
      <c r="G280" t="inlineStr"/>
      <c r="H280" t="inlineStr">
        <is>
          <t>1,000.00</t>
        </is>
      </c>
      <c r="I280" t="inlineStr">
        <is>
          <t>أدوات صحية</t>
        </is>
      </c>
    </row>
    <row r="281">
      <c r="A281">
        <f>IMAGE("https://files.manuscdn.com/user_upload_by_module/session_file/310519663766182518/mVxIShhywaZJJoDt.png")</f>
        <v/>
      </c>
      <c r="B281" t="inlineStr">
        <is>
          <t>product_page045_item05</t>
        </is>
      </c>
      <c r="C281" t="inlineStr">
        <is>
          <t>Blocko</t>
        </is>
      </c>
      <c r="D281" t="inlineStr">
        <is>
          <t>N/A</t>
        </is>
      </c>
      <c r="E281" t="inlineStr"/>
      <c r="F281" t="inlineStr">
        <is>
          <t>متنوع</t>
        </is>
      </c>
      <c r="G281" t="inlineStr"/>
      <c r="H281" t="inlineStr">
        <is>
          <t>1,000.00</t>
        </is>
      </c>
      <c r="I281" t="inlineStr">
        <is>
          <t>أدوات صحية</t>
        </is>
      </c>
    </row>
    <row r="282">
      <c r="A282">
        <f>IMAGE("https://files.manuscdn.com/user_upload_by_module/session_file/310519663766182518/sXOcnVDqFMqUykuP.png")</f>
        <v/>
      </c>
      <c r="B282" t="inlineStr">
        <is>
          <t>product_page046_item00</t>
        </is>
      </c>
      <c r="C282" t="inlineStr">
        <is>
          <t>Blocko</t>
        </is>
      </c>
      <c r="D282" t="inlineStr">
        <is>
          <t>N/A</t>
        </is>
      </c>
      <c r="E282" t="inlineStr"/>
      <c r="F282" t="inlineStr">
        <is>
          <t>متنوع</t>
        </is>
      </c>
      <c r="G282" t="inlineStr"/>
      <c r="H282" t="inlineStr">
        <is>
          <t>1,000.00</t>
        </is>
      </c>
      <c r="I282" t="inlineStr">
        <is>
          <t>أدوات صحية</t>
        </is>
      </c>
    </row>
    <row r="283">
      <c r="A283">
        <f>IMAGE("https://files.manuscdn.com/user_upload_by_module/session_file/310519663766182518/wVnnZcWnhPwaJvxn.png")</f>
        <v/>
      </c>
      <c r="B283" t="inlineStr">
        <is>
          <t>product_page046_item01</t>
        </is>
      </c>
      <c r="C283" t="inlineStr">
        <is>
          <t>Blocko</t>
        </is>
      </c>
      <c r="D283" t="inlineStr">
        <is>
          <t>N/A</t>
        </is>
      </c>
      <c r="E283" t="inlineStr"/>
      <c r="F283" t="inlineStr">
        <is>
          <t>متنوع</t>
        </is>
      </c>
      <c r="G283" t="inlineStr"/>
      <c r="H283" t="inlineStr">
        <is>
          <t>1,000.00</t>
        </is>
      </c>
      <c r="I283" t="inlineStr">
        <is>
          <t>أدوات صحية</t>
        </is>
      </c>
    </row>
    <row r="284">
      <c r="A284">
        <f>IMAGE("https://files.manuscdn.com/user_upload_by_module/session_file/310519663766182518/LSbpyNpnCWzZZDiF.png")</f>
        <v/>
      </c>
      <c r="B284" t="inlineStr">
        <is>
          <t>product_page046_item02</t>
        </is>
      </c>
      <c r="C284" t="inlineStr">
        <is>
          <t>Blocko</t>
        </is>
      </c>
      <c r="D284" t="inlineStr">
        <is>
          <t>N/A</t>
        </is>
      </c>
      <c r="E284" t="inlineStr"/>
      <c r="F284" t="inlineStr">
        <is>
          <t>متنوع</t>
        </is>
      </c>
      <c r="G284" t="inlineStr"/>
      <c r="H284" t="inlineStr">
        <is>
          <t>1,000.00</t>
        </is>
      </c>
      <c r="I284" t="inlineStr">
        <is>
          <t>أدوات صحية</t>
        </is>
      </c>
    </row>
    <row r="285">
      <c r="A285">
        <f>IMAGE("https://files.manuscdn.com/user_upload_by_module/session_file/310519663766182518/rucLTRFOrIwPXwDd.png")</f>
        <v/>
      </c>
      <c r="B285" t="inlineStr">
        <is>
          <t>product_page046_item03</t>
        </is>
      </c>
      <c r="C285" t="inlineStr">
        <is>
          <t>Blocko</t>
        </is>
      </c>
      <c r="D285" t="inlineStr">
        <is>
          <t>N/A</t>
        </is>
      </c>
      <c r="E285" t="inlineStr"/>
      <c r="F285" t="inlineStr">
        <is>
          <t>متنوع</t>
        </is>
      </c>
      <c r="G285" t="inlineStr"/>
      <c r="H285" t="inlineStr">
        <is>
          <t>1,000.00</t>
        </is>
      </c>
      <c r="I285" t="inlineStr">
        <is>
          <t>أدوات صحية</t>
        </is>
      </c>
    </row>
    <row r="286">
      <c r="A286">
        <f>IMAGE("https://files.manuscdn.com/user_upload_by_module/session_file/310519663766182518/TmbNNPgPYvgUvznE.png")</f>
        <v/>
      </c>
      <c r="B286" t="inlineStr">
        <is>
          <t>product_page046_item05</t>
        </is>
      </c>
      <c r="C286" t="inlineStr">
        <is>
          <t>Blocko</t>
        </is>
      </c>
      <c r="D286" t="inlineStr">
        <is>
          <t>N/A</t>
        </is>
      </c>
      <c r="E286" t="inlineStr"/>
      <c r="F286" t="inlineStr">
        <is>
          <t>متنوع</t>
        </is>
      </c>
      <c r="G286" t="inlineStr"/>
      <c r="H286" t="inlineStr">
        <is>
          <t>1,000.00</t>
        </is>
      </c>
      <c r="I286" t="inlineStr">
        <is>
          <t>أدوات صحية</t>
        </is>
      </c>
    </row>
    <row r="287">
      <c r="A287">
        <f>IMAGE("https://files.manuscdn.com/user_upload_by_module/session_file/310519663766182518/BjVINyWAPwJykLFD.png")</f>
        <v/>
      </c>
      <c r="B287" t="inlineStr">
        <is>
          <t>product_page046_item06</t>
        </is>
      </c>
      <c r="C287" t="inlineStr">
        <is>
          <t>Blocko</t>
        </is>
      </c>
      <c r="D287" t="inlineStr">
        <is>
          <t>N/A</t>
        </is>
      </c>
      <c r="E287" t="inlineStr"/>
      <c r="F287" t="inlineStr">
        <is>
          <t>متنوع</t>
        </is>
      </c>
      <c r="G287" t="inlineStr"/>
      <c r="H287" t="inlineStr">
        <is>
          <t>1,000.00</t>
        </is>
      </c>
      <c r="I287" t="inlineStr">
        <is>
          <t>أدوات صحية</t>
        </is>
      </c>
    </row>
    <row r="288">
      <c r="A288">
        <f>IMAGE("https://files.manuscdn.com/user_upload_by_module/session_file/310519663766182518/CUYfrLmhwtHFRjle.png")</f>
        <v/>
      </c>
      <c r="B288" t="inlineStr">
        <is>
          <t>product_page046_item07</t>
        </is>
      </c>
      <c r="C288" t="inlineStr">
        <is>
          <t>Blocko</t>
        </is>
      </c>
      <c r="D288" t="inlineStr">
        <is>
          <t>N/A</t>
        </is>
      </c>
      <c r="E288" t="inlineStr"/>
      <c r="F288" t="inlineStr">
        <is>
          <t>متنوع</t>
        </is>
      </c>
      <c r="G288" t="inlineStr"/>
      <c r="H288" t="inlineStr">
        <is>
          <t>1,000.00</t>
        </is>
      </c>
      <c r="I288" t="inlineStr">
        <is>
          <t>أدوات صحية</t>
        </is>
      </c>
    </row>
    <row r="289">
      <c r="A289">
        <f>IMAGE("https://files.manuscdn.com/user_upload_by_module/session_file/310519663766182518/YrBXgMBSbSUusMio.png")</f>
        <v/>
      </c>
      <c r="B289" t="inlineStr">
        <is>
          <t>product_page046_item08</t>
        </is>
      </c>
      <c r="C289" t="inlineStr">
        <is>
          <t>Blocko</t>
        </is>
      </c>
      <c r="D289" t="inlineStr">
        <is>
          <t>N/A</t>
        </is>
      </c>
      <c r="E289" t="inlineStr"/>
      <c r="F289" t="inlineStr">
        <is>
          <t>متنوع</t>
        </is>
      </c>
      <c r="G289" t="inlineStr"/>
      <c r="H289" t="inlineStr">
        <is>
          <t>1,000.00</t>
        </is>
      </c>
      <c r="I289" t="inlineStr">
        <is>
          <t>أدوات صحية</t>
        </is>
      </c>
    </row>
    <row r="290">
      <c r="A290">
        <f>IMAGE("https://files.manuscdn.com/user_upload_by_module/session_file/310519663766182518/ANMzjGEGMoiCqXQm.png")</f>
        <v/>
      </c>
      <c r="B290" t="inlineStr">
        <is>
          <t>product_page047_item00</t>
        </is>
      </c>
      <c r="C290" t="inlineStr">
        <is>
          <t>Blocko</t>
        </is>
      </c>
      <c r="D290" t="inlineStr">
        <is>
          <t>N/A</t>
        </is>
      </c>
      <c r="E290" t="inlineStr"/>
      <c r="F290" t="inlineStr">
        <is>
          <t>متنوع</t>
        </is>
      </c>
      <c r="G290" t="inlineStr"/>
      <c r="H290" t="inlineStr">
        <is>
          <t>1,000.00</t>
        </is>
      </c>
      <c r="I290" t="inlineStr">
        <is>
          <t>أدوات صحية</t>
        </is>
      </c>
    </row>
    <row r="291">
      <c r="A291">
        <f>IMAGE("https://files.manuscdn.com/user_upload_by_module/session_file/310519663766182518/kDsANVNlxvFuhNmL.png")</f>
        <v/>
      </c>
      <c r="B291" t="inlineStr">
        <is>
          <t>product_page047_item01</t>
        </is>
      </c>
      <c r="C291" t="inlineStr">
        <is>
          <t>Blocko</t>
        </is>
      </c>
      <c r="D291" t="inlineStr">
        <is>
          <t>N/A</t>
        </is>
      </c>
      <c r="E291" t="inlineStr"/>
      <c r="F291" t="inlineStr">
        <is>
          <t>متنوع</t>
        </is>
      </c>
      <c r="G291" t="inlineStr"/>
      <c r="H291" t="inlineStr">
        <is>
          <t>1,000.00</t>
        </is>
      </c>
      <c r="I291" t="inlineStr">
        <is>
          <t>أدوات صحية</t>
        </is>
      </c>
    </row>
    <row r="292">
      <c r="A292">
        <f>IMAGE("https://files.manuscdn.com/user_upload_by_module/session_file/310519663766182518/LaGEarLcjIjGQAIa.png")</f>
        <v/>
      </c>
      <c r="B292" t="inlineStr">
        <is>
          <t>product_page047_item02</t>
        </is>
      </c>
      <c r="C292" t="inlineStr">
        <is>
          <t>Blocko</t>
        </is>
      </c>
      <c r="D292" t="inlineStr">
        <is>
          <t>N/A</t>
        </is>
      </c>
      <c r="E292" t="inlineStr"/>
      <c r="F292" t="inlineStr">
        <is>
          <t>متنوع</t>
        </is>
      </c>
      <c r="G292" t="inlineStr"/>
      <c r="H292" t="inlineStr">
        <is>
          <t>1,000.00</t>
        </is>
      </c>
      <c r="I292" t="inlineStr">
        <is>
          <t>أدوات صحية</t>
        </is>
      </c>
    </row>
    <row r="293">
      <c r="A293">
        <f>IMAGE("https://files.manuscdn.com/user_upload_by_module/session_file/310519663766182518/IwwEQotpMnkylNPc.png")</f>
        <v/>
      </c>
      <c r="B293" t="inlineStr">
        <is>
          <t>product_page047_item03</t>
        </is>
      </c>
      <c r="C293" t="inlineStr">
        <is>
          <t>Blocko</t>
        </is>
      </c>
      <c r="D293" t="inlineStr">
        <is>
          <t>N/A</t>
        </is>
      </c>
      <c r="E293" t="inlineStr"/>
      <c r="F293" t="inlineStr">
        <is>
          <t>متنوع</t>
        </is>
      </c>
      <c r="G293" t="inlineStr"/>
      <c r="H293" t="inlineStr">
        <is>
          <t>1,000.00</t>
        </is>
      </c>
      <c r="I293" t="inlineStr">
        <is>
          <t>أدوات صحية</t>
        </is>
      </c>
    </row>
    <row r="294">
      <c r="A294">
        <f>IMAGE("https://files.manuscdn.com/user_upload_by_module/session_file/310519663766182518/FVWMZnncCYCFGnhp.png")</f>
        <v/>
      </c>
      <c r="B294" t="inlineStr">
        <is>
          <t>product_page047_item04</t>
        </is>
      </c>
      <c r="C294" t="inlineStr">
        <is>
          <t>Blocko</t>
        </is>
      </c>
      <c r="D294" t="inlineStr">
        <is>
          <t>N/A</t>
        </is>
      </c>
      <c r="E294" t="inlineStr"/>
      <c r="F294" t="inlineStr">
        <is>
          <t>متنوع</t>
        </is>
      </c>
      <c r="G294" t="inlineStr"/>
      <c r="H294" t="inlineStr">
        <is>
          <t>1,000.00</t>
        </is>
      </c>
      <c r="I294" t="inlineStr">
        <is>
          <t>أدوات صحية</t>
        </is>
      </c>
    </row>
    <row r="295">
      <c r="A295">
        <f>IMAGE("https://files.manuscdn.com/user_upload_by_module/session_file/310519663766182518/rsXpsPqllIEbpdsC.png")</f>
        <v/>
      </c>
      <c r="B295" t="inlineStr">
        <is>
          <t>product_page047_item05</t>
        </is>
      </c>
      <c r="C295" t="inlineStr">
        <is>
          <t>Blocko</t>
        </is>
      </c>
      <c r="D295" t="inlineStr">
        <is>
          <t>N/A</t>
        </is>
      </c>
      <c r="E295" t="inlineStr"/>
      <c r="F295" t="inlineStr">
        <is>
          <t>متنوع</t>
        </is>
      </c>
      <c r="G295" t="inlineStr"/>
      <c r="H295" t="inlineStr">
        <is>
          <t>1,000.00</t>
        </is>
      </c>
      <c r="I295" t="inlineStr">
        <is>
          <t>أدوات صحية</t>
        </is>
      </c>
    </row>
    <row r="296">
      <c r="A296">
        <f>IMAGE("https://files.manuscdn.com/user_upload_by_module/session_file/310519663766182518/VWjseTuUWzoyLshp.png")</f>
        <v/>
      </c>
      <c r="B296" t="inlineStr">
        <is>
          <t>product_page047_item06</t>
        </is>
      </c>
      <c r="C296" t="inlineStr">
        <is>
          <t>Blocko</t>
        </is>
      </c>
      <c r="D296" t="inlineStr">
        <is>
          <t>N/A</t>
        </is>
      </c>
      <c r="E296" t="inlineStr"/>
      <c r="F296" t="inlineStr">
        <is>
          <t>متنوع</t>
        </is>
      </c>
      <c r="G296" t="inlineStr"/>
      <c r="H296" t="inlineStr">
        <is>
          <t>1,000.00</t>
        </is>
      </c>
      <c r="I296" t="inlineStr">
        <is>
          <t>أدوات صحية</t>
        </is>
      </c>
    </row>
    <row r="297">
      <c r="A297">
        <f>IMAGE("https://files.manuscdn.com/user_upload_by_module/session_file/310519663766182518/KFbabyeQDgNckwcJ.png")</f>
        <v/>
      </c>
      <c r="B297" t="inlineStr">
        <is>
          <t>product_page047_item07</t>
        </is>
      </c>
      <c r="C297" t="inlineStr">
        <is>
          <t>Blocko</t>
        </is>
      </c>
      <c r="D297" t="inlineStr">
        <is>
          <t>N/A</t>
        </is>
      </c>
      <c r="E297" t="inlineStr"/>
      <c r="F297" t="inlineStr">
        <is>
          <t>متنوع</t>
        </is>
      </c>
      <c r="G297" t="inlineStr"/>
      <c r="H297" t="inlineStr">
        <is>
          <t>1,000.00</t>
        </is>
      </c>
      <c r="I297" t="inlineStr">
        <is>
          <t>أدوات صحية</t>
        </is>
      </c>
    </row>
    <row r="298">
      <c r="A298">
        <f>IMAGE("https://files.manuscdn.com/user_upload_by_module/session_file/310519663766182518/yumCuZnLYYsVuqbI.png")</f>
        <v/>
      </c>
      <c r="B298" t="inlineStr">
        <is>
          <t>product_page048_item00</t>
        </is>
      </c>
      <c r="C298" t="inlineStr">
        <is>
          <t>Blocko</t>
        </is>
      </c>
      <c r="D298" t="inlineStr">
        <is>
          <t>N/A</t>
        </is>
      </c>
      <c r="E298" t="inlineStr"/>
      <c r="F298" t="inlineStr">
        <is>
          <t>متنوع</t>
        </is>
      </c>
      <c r="G298" t="inlineStr"/>
      <c r="H298" t="inlineStr">
        <is>
          <t>1,000.00</t>
        </is>
      </c>
      <c r="I298" t="inlineStr">
        <is>
          <t>أدوات صحية</t>
        </is>
      </c>
    </row>
    <row r="299">
      <c r="A299">
        <f>IMAGE("https://files.manuscdn.com/user_upload_by_module/session_file/310519663766182518/racuBQwgqhLBZZzS.png")</f>
        <v/>
      </c>
      <c r="B299" t="inlineStr">
        <is>
          <t>product_page048_item01</t>
        </is>
      </c>
      <c r="C299" t="inlineStr">
        <is>
          <t>Blocko</t>
        </is>
      </c>
      <c r="D299" t="inlineStr">
        <is>
          <t>N/A</t>
        </is>
      </c>
      <c r="E299" t="inlineStr"/>
      <c r="F299" t="inlineStr">
        <is>
          <t>متنوع</t>
        </is>
      </c>
      <c r="G299" t="inlineStr"/>
      <c r="H299" t="inlineStr">
        <is>
          <t>1,000.00</t>
        </is>
      </c>
      <c r="I299" t="inlineStr">
        <is>
          <t>أدوات صحية</t>
        </is>
      </c>
    </row>
    <row r="300">
      <c r="A300">
        <f>IMAGE("https://files.manuscdn.com/user_upload_by_module/session_file/310519663766182518/AtQExBAmSAezSAFC.png")</f>
        <v/>
      </c>
      <c r="B300" t="inlineStr">
        <is>
          <t>product_page048_item02</t>
        </is>
      </c>
      <c r="C300" t="inlineStr">
        <is>
          <t>Blocko</t>
        </is>
      </c>
      <c r="D300" t="inlineStr">
        <is>
          <t>N/A</t>
        </is>
      </c>
      <c r="E300" t="inlineStr"/>
      <c r="F300" t="inlineStr">
        <is>
          <t>متنوع</t>
        </is>
      </c>
      <c r="G300" t="inlineStr"/>
      <c r="H300" t="inlineStr">
        <is>
          <t>1,000.00</t>
        </is>
      </c>
      <c r="I300" t="inlineStr">
        <is>
          <t>أدوات صحية</t>
        </is>
      </c>
    </row>
    <row r="301">
      <c r="A301">
        <f>IMAGE("https://files.manuscdn.com/user_upload_by_module/session_file/310519663766182518/xBXfJFxgJQryKqNV.png")</f>
        <v/>
      </c>
      <c r="B301" t="inlineStr">
        <is>
          <t>product_page048_item03</t>
        </is>
      </c>
      <c r="C301" t="inlineStr">
        <is>
          <t>Blocko</t>
        </is>
      </c>
      <c r="D301" t="inlineStr">
        <is>
          <t>N/A</t>
        </is>
      </c>
      <c r="E301" t="inlineStr"/>
      <c r="F301" t="inlineStr">
        <is>
          <t>متنوع</t>
        </is>
      </c>
      <c r="G301" t="inlineStr"/>
      <c r="H301" t="inlineStr">
        <is>
          <t>1,000.00</t>
        </is>
      </c>
      <c r="I301" t="inlineStr">
        <is>
          <t>أدوات صحية</t>
        </is>
      </c>
    </row>
    <row r="302">
      <c r="A302">
        <f>IMAGE("https://files.manuscdn.com/user_upload_by_module/session_file/310519663766182518/FpxFzrXTwREnKsBB.png")</f>
        <v/>
      </c>
      <c r="B302" t="inlineStr">
        <is>
          <t>product_page048_item04</t>
        </is>
      </c>
      <c r="C302" t="inlineStr">
        <is>
          <t>Blocko</t>
        </is>
      </c>
      <c r="D302" t="inlineStr">
        <is>
          <t>N/A</t>
        </is>
      </c>
      <c r="E302" t="inlineStr"/>
      <c r="F302" t="inlineStr">
        <is>
          <t>متنوع</t>
        </is>
      </c>
      <c r="G302" t="inlineStr"/>
      <c r="H302" t="inlineStr">
        <is>
          <t>1,000.00</t>
        </is>
      </c>
      <c r="I302" t="inlineStr">
        <is>
          <t>أدوات صحية</t>
        </is>
      </c>
    </row>
    <row r="303">
      <c r="A303">
        <f>IMAGE("https://files.manuscdn.com/user_upload_by_module/session_file/310519663766182518/psOWLAVpbtRmrcFR.png")</f>
        <v/>
      </c>
      <c r="B303" t="inlineStr">
        <is>
          <t>product_page048_item05</t>
        </is>
      </c>
      <c r="C303" t="inlineStr">
        <is>
          <t>Blocko</t>
        </is>
      </c>
      <c r="D303" t="inlineStr">
        <is>
          <t>N/A</t>
        </is>
      </c>
      <c r="E303" t="inlineStr"/>
      <c r="F303" t="inlineStr">
        <is>
          <t>متنوع</t>
        </is>
      </c>
      <c r="G303" t="inlineStr"/>
      <c r="H303" t="inlineStr">
        <is>
          <t>1,000.00</t>
        </is>
      </c>
      <c r="I303" t="inlineStr">
        <is>
          <t>أدوات صحية</t>
        </is>
      </c>
    </row>
    <row r="304">
      <c r="A304">
        <f>IMAGE("https://files.manuscdn.com/user_upload_by_module/session_file/310519663766182518/MzZtgHrSdwObmzaG.png")</f>
        <v/>
      </c>
      <c r="B304" t="inlineStr">
        <is>
          <t>product_page048_item06</t>
        </is>
      </c>
      <c r="C304" t="inlineStr">
        <is>
          <t>Blocko</t>
        </is>
      </c>
      <c r="D304" t="inlineStr">
        <is>
          <t>N/A</t>
        </is>
      </c>
      <c r="E304" t="inlineStr"/>
      <c r="F304" t="inlineStr">
        <is>
          <t>متنوع</t>
        </is>
      </c>
      <c r="G304" t="inlineStr"/>
      <c r="H304" t="inlineStr">
        <is>
          <t>1,000.00</t>
        </is>
      </c>
      <c r="I304" t="inlineStr">
        <is>
          <t>أدوات صحية</t>
        </is>
      </c>
    </row>
    <row r="305">
      <c r="A305">
        <f>IMAGE("https://files.manuscdn.com/user_upload_by_module/session_file/310519663766182518/vzLnpNdiKXanGHvW.png")</f>
        <v/>
      </c>
      <c r="B305" t="inlineStr">
        <is>
          <t>product_page048_item07</t>
        </is>
      </c>
      <c r="C305" t="inlineStr">
        <is>
          <t>Blocko</t>
        </is>
      </c>
      <c r="D305" t="inlineStr">
        <is>
          <t>N/A</t>
        </is>
      </c>
      <c r="E305" t="inlineStr"/>
      <c r="F305" t="inlineStr">
        <is>
          <t>متنوع</t>
        </is>
      </c>
      <c r="G305" t="inlineStr"/>
      <c r="H305" t="inlineStr">
        <is>
          <t>1,000.00</t>
        </is>
      </c>
      <c r="I305" t="inlineStr">
        <is>
          <t>أدوات صحية</t>
        </is>
      </c>
    </row>
    <row r="306">
      <c r="A306">
        <f>IMAGE("https://files.manuscdn.com/user_upload_by_module/session_file/310519663766182518/OzboyKwyhDVQehFY.png")</f>
        <v/>
      </c>
      <c r="B306" t="inlineStr">
        <is>
          <t>product_page049_item00</t>
        </is>
      </c>
      <c r="C306" t="inlineStr">
        <is>
          <t>Blocko</t>
        </is>
      </c>
      <c r="D306" t="inlineStr">
        <is>
          <t>N/A</t>
        </is>
      </c>
      <c r="E306" t="inlineStr"/>
      <c r="F306" t="inlineStr">
        <is>
          <t>متنوع</t>
        </is>
      </c>
      <c r="G306" t="inlineStr"/>
      <c r="H306" t="inlineStr">
        <is>
          <t>1,000.00</t>
        </is>
      </c>
      <c r="I306" t="inlineStr">
        <is>
          <t>أدوات صحية</t>
        </is>
      </c>
    </row>
    <row r="307">
      <c r="A307">
        <f>IMAGE("https://files.manuscdn.com/user_upload_by_module/session_file/310519663766182518/vlZjcwIyjJSAXkrx.png")</f>
        <v/>
      </c>
      <c r="B307" t="inlineStr">
        <is>
          <t>product_page049_item01</t>
        </is>
      </c>
      <c r="C307" t="inlineStr">
        <is>
          <t>Blocko</t>
        </is>
      </c>
      <c r="D307" t="inlineStr">
        <is>
          <t>N/A</t>
        </is>
      </c>
      <c r="E307" t="inlineStr"/>
      <c r="F307" t="inlineStr">
        <is>
          <t>متنوع</t>
        </is>
      </c>
      <c r="G307" t="inlineStr"/>
      <c r="H307" t="inlineStr">
        <is>
          <t>1,000.00</t>
        </is>
      </c>
      <c r="I307" t="inlineStr">
        <is>
          <t>أدوات صحية</t>
        </is>
      </c>
    </row>
    <row r="308">
      <c r="A308">
        <f>IMAGE("https://files.manuscdn.com/user_upload_by_module/session_file/310519663766182518/saCSveHwdGAjUGtA.png")</f>
        <v/>
      </c>
      <c r="B308" t="inlineStr">
        <is>
          <t>product_page049_item02</t>
        </is>
      </c>
      <c r="C308" t="inlineStr">
        <is>
          <t>Blocko</t>
        </is>
      </c>
      <c r="D308" t="inlineStr">
        <is>
          <t>N/A</t>
        </is>
      </c>
      <c r="E308" t="inlineStr"/>
      <c r="F308" t="inlineStr">
        <is>
          <t>متنوع</t>
        </is>
      </c>
      <c r="G308" t="inlineStr"/>
      <c r="H308" t="inlineStr">
        <is>
          <t>1,000.00</t>
        </is>
      </c>
      <c r="I308" t="inlineStr">
        <is>
          <t>أدوات صحية</t>
        </is>
      </c>
    </row>
    <row r="309">
      <c r="A309">
        <f>IMAGE("https://files.manuscdn.com/user_upload_by_module/session_file/310519663766182518/eddSlBfEKsCfFLqf.png")</f>
        <v/>
      </c>
      <c r="B309" t="inlineStr">
        <is>
          <t>product_page049_item03</t>
        </is>
      </c>
      <c r="C309" t="inlineStr">
        <is>
          <t>Blocko</t>
        </is>
      </c>
      <c r="D309" t="inlineStr">
        <is>
          <t>N/A</t>
        </is>
      </c>
      <c r="E309" t="inlineStr"/>
      <c r="F309" t="inlineStr">
        <is>
          <t>متنوع</t>
        </is>
      </c>
      <c r="G309" t="inlineStr"/>
      <c r="H309" t="inlineStr">
        <is>
          <t>1,000.00</t>
        </is>
      </c>
      <c r="I309" t="inlineStr">
        <is>
          <t>أدوات صحية</t>
        </is>
      </c>
    </row>
    <row r="310">
      <c r="A310">
        <f>IMAGE("https://files.manuscdn.com/user_upload_by_module/session_file/310519663766182518/TctbALKrrqIWMqKf.png")</f>
        <v/>
      </c>
      <c r="B310" t="inlineStr">
        <is>
          <t>product_page049_item04</t>
        </is>
      </c>
      <c r="C310" t="inlineStr">
        <is>
          <t>Blocko</t>
        </is>
      </c>
      <c r="D310" t="inlineStr">
        <is>
          <t>N/A</t>
        </is>
      </c>
      <c r="E310" t="inlineStr"/>
      <c r="F310" t="inlineStr">
        <is>
          <t>متنوع</t>
        </is>
      </c>
      <c r="G310" t="inlineStr"/>
      <c r="H310" t="inlineStr">
        <is>
          <t>1,000.00</t>
        </is>
      </c>
      <c r="I310" t="inlineStr">
        <is>
          <t>أدوات صحية</t>
        </is>
      </c>
    </row>
    <row r="311">
      <c r="A311">
        <f>IMAGE("https://files.manuscdn.com/user_upload_by_module/session_file/310519663766182518/GbiDYXaDONVJARms.png")</f>
        <v/>
      </c>
      <c r="B311" t="inlineStr">
        <is>
          <t>product_page049_item05</t>
        </is>
      </c>
      <c r="C311" t="inlineStr">
        <is>
          <t>Blocko</t>
        </is>
      </c>
      <c r="D311" t="inlineStr">
        <is>
          <t>N/A</t>
        </is>
      </c>
      <c r="E311" t="inlineStr"/>
      <c r="F311" t="inlineStr">
        <is>
          <t>متنوع</t>
        </is>
      </c>
      <c r="G311" t="inlineStr"/>
      <c r="H311" t="inlineStr">
        <is>
          <t>1,000.00</t>
        </is>
      </c>
      <c r="I311" t="inlineStr">
        <is>
          <t>أدوات صحية</t>
        </is>
      </c>
    </row>
    <row r="312">
      <c r="A312">
        <f>IMAGE("https://files.manuscdn.com/user_upload_by_module/session_file/310519663766182518/qEzlmfDKfAfsJKdn.png")</f>
        <v/>
      </c>
      <c r="B312" t="inlineStr">
        <is>
          <t>product_page049_item06</t>
        </is>
      </c>
      <c r="C312" t="inlineStr">
        <is>
          <t>Blocko</t>
        </is>
      </c>
      <c r="D312" t="inlineStr">
        <is>
          <t>N/A</t>
        </is>
      </c>
      <c r="E312" t="inlineStr"/>
      <c r="F312" t="inlineStr">
        <is>
          <t>متنوع</t>
        </is>
      </c>
      <c r="G312" t="inlineStr"/>
      <c r="H312" t="inlineStr">
        <is>
          <t>1,000.00</t>
        </is>
      </c>
      <c r="I312" t="inlineStr">
        <is>
          <t>أدوات صحية</t>
        </is>
      </c>
    </row>
    <row r="313">
      <c r="A313">
        <f>IMAGE("https://files.manuscdn.com/user_upload_by_module/session_file/310519663766182518/ZSfMDBQPQWWmLqmj.png")</f>
        <v/>
      </c>
      <c r="B313" t="inlineStr">
        <is>
          <t>product_page049_item07</t>
        </is>
      </c>
      <c r="C313" t="inlineStr">
        <is>
          <t>Blocko</t>
        </is>
      </c>
      <c r="D313" t="inlineStr">
        <is>
          <t>N/A</t>
        </is>
      </c>
      <c r="E313" t="inlineStr"/>
      <c r="F313" t="inlineStr">
        <is>
          <t>متنوع</t>
        </is>
      </c>
      <c r="G313" t="inlineStr"/>
      <c r="H313" t="inlineStr">
        <is>
          <t>1,000.00</t>
        </is>
      </c>
      <c r="I313" t="inlineStr">
        <is>
          <t>أدوات صحية</t>
        </is>
      </c>
    </row>
    <row r="314">
      <c r="A314">
        <f>IMAGE("https://files.manuscdn.com/user_upload_by_module/session_file/310519663766182518/uCxoAQZfAwescOSq.png")</f>
        <v/>
      </c>
      <c r="B314" t="inlineStr">
        <is>
          <t>product_page050_item00</t>
        </is>
      </c>
      <c r="C314" t="inlineStr">
        <is>
          <t>Blocko</t>
        </is>
      </c>
      <c r="D314" t="inlineStr">
        <is>
          <t>N/A</t>
        </is>
      </c>
      <c r="E314" t="inlineStr"/>
      <c r="F314" t="inlineStr">
        <is>
          <t>متنوع</t>
        </is>
      </c>
      <c r="G314" t="inlineStr"/>
      <c r="H314" t="inlineStr">
        <is>
          <t>1,000.00</t>
        </is>
      </c>
      <c r="I314" t="inlineStr">
        <is>
          <t>أدوات صحية</t>
        </is>
      </c>
    </row>
    <row r="315">
      <c r="A315">
        <f>IMAGE("https://files.manuscdn.com/user_upload_by_module/session_file/310519663766182518/nEJtSBRjTdYPrVoW.png")</f>
        <v/>
      </c>
      <c r="B315" t="inlineStr">
        <is>
          <t>product_page050_item01</t>
        </is>
      </c>
      <c r="C315" t="inlineStr">
        <is>
          <t>Blocko</t>
        </is>
      </c>
      <c r="D315" t="inlineStr">
        <is>
          <t>N/A</t>
        </is>
      </c>
      <c r="E315" t="inlineStr"/>
      <c r="F315" t="inlineStr">
        <is>
          <t>متنوع</t>
        </is>
      </c>
      <c r="G315" t="inlineStr"/>
      <c r="H315" t="inlineStr">
        <is>
          <t>1,000.00</t>
        </is>
      </c>
      <c r="I315" t="inlineStr">
        <is>
          <t>أدوات صحية</t>
        </is>
      </c>
    </row>
    <row r="316">
      <c r="A316">
        <f>IMAGE("https://files.manuscdn.com/user_upload_by_module/session_file/310519663766182518/PQvppPKljoZHLQNs.png")</f>
        <v/>
      </c>
      <c r="B316" t="inlineStr">
        <is>
          <t>product_page050_item02</t>
        </is>
      </c>
      <c r="C316" t="inlineStr">
        <is>
          <t>Blocko</t>
        </is>
      </c>
      <c r="D316" t="inlineStr">
        <is>
          <t>N/A</t>
        </is>
      </c>
      <c r="E316" t="inlineStr"/>
      <c r="F316" t="inlineStr">
        <is>
          <t>متنوع</t>
        </is>
      </c>
      <c r="G316" t="inlineStr"/>
      <c r="H316" t="inlineStr">
        <is>
          <t>1,000.00</t>
        </is>
      </c>
      <c r="I316" t="inlineStr">
        <is>
          <t>أدوات صحية</t>
        </is>
      </c>
    </row>
    <row r="317">
      <c r="A317">
        <f>IMAGE("https://files.manuscdn.com/user_upload_by_module/session_file/310519663766182518/qEgPBAiNmTqrizqA.png")</f>
        <v/>
      </c>
      <c r="B317" t="inlineStr">
        <is>
          <t>product_page050_item03</t>
        </is>
      </c>
      <c r="C317" t="inlineStr">
        <is>
          <t>Blocko</t>
        </is>
      </c>
      <c r="D317" t="inlineStr">
        <is>
          <t>N/A</t>
        </is>
      </c>
      <c r="E317" t="inlineStr"/>
      <c r="F317" t="inlineStr">
        <is>
          <t>متنوع</t>
        </is>
      </c>
      <c r="G317" t="inlineStr"/>
      <c r="H317" t="inlineStr">
        <is>
          <t>1,000.00</t>
        </is>
      </c>
      <c r="I317" t="inlineStr">
        <is>
          <t>أدوات صحية</t>
        </is>
      </c>
    </row>
    <row r="318">
      <c r="A318">
        <f>IMAGE("https://files.manuscdn.com/user_upload_by_module/session_file/310519663766182518/juRQOLHKfeBCDJvF.png")</f>
        <v/>
      </c>
      <c r="B318" t="inlineStr">
        <is>
          <t>product_page051_item00</t>
        </is>
      </c>
      <c r="C318" t="inlineStr">
        <is>
          <t>Blocko</t>
        </is>
      </c>
      <c r="D318" t="inlineStr">
        <is>
          <t>N/A</t>
        </is>
      </c>
      <c r="E318" t="inlineStr"/>
      <c r="F318" t="inlineStr">
        <is>
          <t>متنوع</t>
        </is>
      </c>
      <c r="G318" t="inlineStr"/>
      <c r="H318" t="inlineStr">
        <is>
          <t>1,000.00</t>
        </is>
      </c>
      <c r="I318" t="inlineStr">
        <is>
          <t>أدوات صحية</t>
        </is>
      </c>
    </row>
    <row r="319">
      <c r="A319">
        <f>IMAGE("https://files.manuscdn.com/user_upload_by_module/session_file/310519663766182518/eXdZxHVYbsoxEqRP.png")</f>
        <v/>
      </c>
      <c r="B319" t="inlineStr">
        <is>
          <t>product_page051_item01</t>
        </is>
      </c>
      <c r="C319" t="inlineStr">
        <is>
          <t>Blocko</t>
        </is>
      </c>
      <c r="D319" t="inlineStr">
        <is>
          <t>N/A</t>
        </is>
      </c>
      <c r="E319" t="inlineStr"/>
      <c r="F319" t="inlineStr">
        <is>
          <t>متنوع</t>
        </is>
      </c>
      <c r="G319" t="inlineStr"/>
      <c r="H319" t="inlineStr">
        <is>
          <t>1,000.00</t>
        </is>
      </c>
      <c r="I319" t="inlineStr">
        <is>
          <t>أدوات صحية</t>
        </is>
      </c>
    </row>
    <row r="320">
      <c r="A320">
        <f>IMAGE("https://files.manuscdn.com/user_upload_by_module/session_file/310519663766182518/OaLCmCBSYaCHvbHm.png")</f>
        <v/>
      </c>
      <c r="B320" t="inlineStr">
        <is>
          <t>product_page051_item02</t>
        </is>
      </c>
      <c r="C320" t="inlineStr">
        <is>
          <t>Blocko</t>
        </is>
      </c>
      <c r="D320" t="inlineStr">
        <is>
          <t>N/A</t>
        </is>
      </c>
      <c r="E320" t="inlineStr"/>
      <c r="F320" t="inlineStr">
        <is>
          <t>متنوع</t>
        </is>
      </c>
      <c r="G320" t="inlineStr"/>
      <c r="H320" t="inlineStr">
        <is>
          <t>1,000.00</t>
        </is>
      </c>
      <c r="I320" t="inlineStr">
        <is>
          <t>أدوات صحية</t>
        </is>
      </c>
    </row>
    <row r="321">
      <c r="A321">
        <f>IMAGE("https://files.manuscdn.com/user_upload_by_module/session_file/310519663766182518/UATXptxwbeFHtTiX.png")</f>
        <v/>
      </c>
      <c r="B321" t="inlineStr">
        <is>
          <t>product_page051_item03</t>
        </is>
      </c>
      <c r="C321" t="inlineStr">
        <is>
          <t>Blocko</t>
        </is>
      </c>
      <c r="D321" t="inlineStr">
        <is>
          <t>N/A</t>
        </is>
      </c>
      <c r="E321" t="inlineStr"/>
      <c r="F321" t="inlineStr">
        <is>
          <t>متنوع</t>
        </is>
      </c>
      <c r="G321" t="inlineStr"/>
      <c r="H321" t="inlineStr">
        <is>
          <t>1,000.00</t>
        </is>
      </c>
      <c r="I321" t="inlineStr">
        <is>
          <t>أدوات صحية</t>
        </is>
      </c>
    </row>
    <row r="322">
      <c r="A322">
        <f>IMAGE("https://files.manuscdn.com/user_upload_by_module/session_file/310519663766182518/pZgePJwyepubFxFv.png")</f>
        <v/>
      </c>
      <c r="B322" t="inlineStr">
        <is>
          <t>product_page051_item04</t>
        </is>
      </c>
      <c r="C322" t="inlineStr">
        <is>
          <t>Blocko</t>
        </is>
      </c>
      <c r="D322" t="inlineStr">
        <is>
          <t>N/A</t>
        </is>
      </c>
      <c r="E322" t="inlineStr"/>
      <c r="F322" t="inlineStr">
        <is>
          <t>متنوع</t>
        </is>
      </c>
      <c r="G322" t="inlineStr"/>
      <c r="H322" t="inlineStr">
        <is>
          <t>1,000.00</t>
        </is>
      </c>
      <c r="I322" t="inlineStr">
        <is>
          <t>أدوات صحية</t>
        </is>
      </c>
    </row>
    <row r="323">
      <c r="A323">
        <f>IMAGE("https://files.manuscdn.com/user_upload_by_module/session_file/310519663766182518/heLJJHwzjxNfhmgK.png")</f>
        <v/>
      </c>
      <c r="B323" t="inlineStr">
        <is>
          <t>product_page051_item05</t>
        </is>
      </c>
      <c r="C323" t="inlineStr">
        <is>
          <t>Blocko</t>
        </is>
      </c>
      <c r="D323" t="inlineStr">
        <is>
          <t>N/A</t>
        </is>
      </c>
      <c r="E323" t="inlineStr"/>
      <c r="F323" t="inlineStr">
        <is>
          <t>متنوع</t>
        </is>
      </c>
      <c r="G323" t="inlineStr"/>
      <c r="H323" t="inlineStr">
        <is>
          <t>1,000.00</t>
        </is>
      </c>
      <c r="I323" t="inlineStr">
        <is>
          <t>أدوات صحية</t>
        </is>
      </c>
    </row>
    <row r="324">
      <c r="A324">
        <f>IMAGE("https://files.manuscdn.com/user_upload_by_module/session_file/310519663766182518/STBVjQaYgjhDHSjf.png")</f>
        <v/>
      </c>
      <c r="B324" t="inlineStr">
        <is>
          <t>product_page052_item00</t>
        </is>
      </c>
      <c r="C324" t="inlineStr">
        <is>
          <t>Blocko</t>
        </is>
      </c>
      <c r="D324" t="inlineStr">
        <is>
          <t>N/A</t>
        </is>
      </c>
      <c r="E324" t="inlineStr"/>
      <c r="F324" t="inlineStr">
        <is>
          <t>متنوع</t>
        </is>
      </c>
      <c r="G324" t="inlineStr"/>
      <c r="H324" t="inlineStr">
        <is>
          <t>1,000.00</t>
        </is>
      </c>
      <c r="I324" t="inlineStr">
        <is>
          <t>أدوات صحية</t>
        </is>
      </c>
    </row>
    <row r="325">
      <c r="A325">
        <f>IMAGE("https://files.manuscdn.com/user_upload_by_module/session_file/310519663766182518/SQGpjoItzvbvOYKV.png")</f>
        <v/>
      </c>
      <c r="B325" t="inlineStr">
        <is>
          <t>product_page052_item01</t>
        </is>
      </c>
      <c r="C325" t="inlineStr">
        <is>
          <t>Blocko</t>
        </is>
      </c>
      <c r="D325" t="inlineStr">
        <is>
          <t>N/A</t>
        </is>
      </c>
      <c r="E325" t="inlineStr"/>
      <c r="F325" t="inlineStr">
        <is>
          <t>متنوع</t>
        </is>
      </c>
      <c r="G325" t="inlineStr"/>
      <c r="H325" t="inlineStr">
        <is>
          <t>1,000.00</t>
        </is>
      </c>
      <c r="I325" t="inlineStr">
        <is>
          <t>أدوات صحية</t>
        </is>
      </c>
    </row>
    <row r="326">
      <c r="A326">
        <f>IMAGE("https://files.manuscdn.com/user_upload_by_module/session_file/310519663766182518/oFopMYeDFQqfOQTl.png")</f>
        <v/>
      </c>
      <c r="B326" t="inlineStr">
        <is>
          <t>product_page052_item02</t>
        </is>
      </c>
      <c r="C326" t="inlineStr">
        <is>
          <t>Blocko</t>
        </is>
      </c>
      <c r="D326" t="inlineStr">
        <is>
          <t>N/A</t>
        </is>
      </c>
      <c r="E326" t="inlineStr"/>
      <c r="F326" t="inlineStr">
        <is>
          <t>متنوع</t>
        </is>
      </c>
      <c r="G326" t="inlineStr"/>
      <c r="H326" t="inlineStr">
        <is>
          <t>1,000.00</t>
        </is>
      </c>
      <c r="I326" t="inlineStr">
        <is>
          <t>أدوات صحية</t>
        </is>
      </c>
    </row>
    <row r="327">
      <c r="A327">
        <f>IMAGE("https://files.manuscdn.com/user_upload_by_module/session_file/310519663766182518/FfMYIMJZvPlgeacf.png")</f>
        <v/>
      </c>
      <c r="B327" t="inlineStr">
        <is>
          <t>product_page052_item03</t>
        </is>
      </c>
      <c r="C327" t="inlineStr">
        <is>
          <t>Blocko</t>
        </is>
      </c>
      <c r="D327" t="inlineStr">
        <is>
          <t>N/A</t>
        </is>
      </c>
      <c r="E327" t="inlineStr"/>
      <c r="F327" t="inlineStr">
        <is>
          <t>متنوع</t>
        </is>
      </c>
      <c r="G327" t="inlineStr"/>
      <c r="H327" t="inlineStr">
        <is>
          <t>1,000.00</t>
        </is>
      </c>
      <c r="I327" t="inlineStr">
        <is>
          <t>أدوات صحية</t>
        </is>
      </c>
    </row>
    <row r="328">
      <c r="A328">
        <f>IMAGE("https://files.manuscdn.com/user_upload_by_module/session_file/310519663766182518/AArYNNxXSXOCDjWL.png")</f>
        <v/>
      </c>
      <c r="B328" t="inlineStr">
        <is>
          <t>product_page052_item04</t>
        </is>
      </c>
      <c r="C328" t="inlineStr">
        <is>
          <t>Blocko</t>
        </is>
      </c>
      <c r="D328" t="inlineStr">
        <is>
          <t>N/A</t>
        </is>
      </c>
      <c r="E328" t="inlineStr"/>
      <c r="F328" t="inlineStr">
        <is>
          <t>متنوع</t>
        </is>
      </c>
      <c r="G328" t="inlineStr"/>
      <c r="H328" t="inlineStr">
        <is>
          <t>1,000.00</t>
        </is>
      </c>
      <c r="I328" t="inlineStr">
        <is>
          <t>أدوات صحية</t>
        </is>
      </c>
    </row>
    <row r="329">
      <c r="A329">
        <f>IMAGE("https://files.manuscdn.com/user_upload_by_module/session_file/310519663766182518/zQCREpMOODkAWmca.png")</f>
        <v/>
      </c>
      <c r="B329" t="inlineStr">
        <is>
          <t>product_page052_item05</t>
        </is>
      </c>
      <c r="C329" t="inlineStr">
        <is>
          <t>Blocko</t>
        </is>
      </c>
      <c r="D329" t="inlineStr">
        <is>
          <t>N/A</t>
        </is>
      </c>
      <c r="E329" t="inlineStr"/>
      <c r="F329" t="inlineStr">
        <is>
          <t>متنوع</t>
        </is>
      </c>
      <c r="G329" t="inlineStr"/>
      <c r="H329" t="inlineStr">
        <is>
          <t>1,000.00</t>
        </is>
      </c>
      <c r="I329" t="inlineStr">
        <is>
          <t>أدوات صحية</t>
        </is>
      </c>
    </row>
    <row r="330">
      <c r="A330">
        <f>IMAGE("https://files.manuscdn.com/user_upload_by_module/session_file/310519663766182518/NWqvRGjmmikkqKpX.png")</f>
        <v/>
      </c>
      <c r="B330" t="inlineStr">
        <is>
          <t>product_page053_item00</t>
        </is>
      </c>
      <c r="C330" t="inlineStr">
        <is>
          <t>Blocko</t>
        </is>
      </c>
      <c r="D330" t="inlineStr">
        <is>
          <t>N/A</t>
        </is>
      </c>
      <c r="E330" t="inlineStr"/>
      <c r="F330" t="inlineStr">
        <is>
          <t>متنوع</t>
        </is>
      </c>
      <c r="G330" t="inlineStr"/>
      <c r="H330" t="inlineStr">
        <is>
          <t>1,000.00</t>
        </is>
      </c>
      <c r="I330" t="inlineStr">
        <is>
          <t>أدوات صحية</t>
        </is>
      </c>
    </row>
    <row r="331">
      <c r="A331">
        <f>IMAGE("https://files.manuscdn.com/user_upload_by_module/session_file/310519663766182518/EMXjNymhrNNUaTxt.png")</f>
        <v/>
      </c>
      <c r="B331" t="inlineStr">
        <is>
          <t>product_page053_item01</t>
        </is>
      </c>
      <c r="C331" t="inlineStr">
        <is>
          <t>Blocko</t>
        </is>
      </c>
      <c r="D331" t="inlineStr">
        <is>
          <t>N/A</t>
        </is>
      </c>
      <c r="E331" t="inlineStr"/>
      <c r="F331" t="inlineStr">
        <is>
          <t>متنوع</t>
        </is>
      </c>
      <c r="G331" t="inlineStr"/>
      <c r="H331" t="inlineStr">
        <is>
          <t>1,000.00</t>
        </is>
      </c>
      <c r="I331" t="inlineStr">
        <is>
          <t>أدوات صحية</t>
        </is>
      </c>
    </row>
    <row r="332">
      <c r="A332">
        <f>IMAGE("https://files.manuscdn.com/user_upload_by_module/session_file/310519663766182518/KwdCEmjNFzqRjnKX.png")</f>
        <v/>
      </c>
      <c r="B332" t="inlineStr">
        <is>
          <t>product_page053_item02</t>
        </is>
      </c>
      <c r="C332" t="inlineStr">
        <is>
          <t>Blocko</t>
        </is>
      </c>
      <c r="D332" t="inlineStr">
        <is>
          <t>N/A</t>
        </is>
      </c>
      <c r="E332" t="inlineStr"/>
      <c r="F332" t="inlineStr">
        <is>
          <t>متنوع</t>
        </is>
      </c>
      <c r="G332" t="inlineStr"/>
      <c r="H332" t="inlineStr">
        <is>
          <t>1,000.00</t>
        </is>
      </c>
      <c r="I332" t="inlineStr">
        <is>
          <t>أدوات صحية</t>
        </is>
      </c>
    </row>
    <row r="333">
      <c r="A333">
        <f>IMAGE("https://files.manuscdn.com/user_upload_by_module/session_file/310519663766182518/igzXZmKToCLVNCDZ.png")</f>
        <v/>
      </c>
      <c r="B333" t="inlineStr">
        <is>
          <t>product_page053_item03</t>
        </is>
      </c>
      <c r="C333" t="inlineStr">
        <is>
          <t>Blocko</t>
        </is>
      </c>
      <c r="D333" t="inlineStr">
        <is>
          <t>N/A</t>
        </is>
      </c>
      <c r="E333" t="inlineStr"/>
      <c r="F333" t="inlineStr">
        <is>
          <t>متنوع</t>
        </is>
      </c>
      <c r="G333" t="inlineStr"/>
      <c r="H333" t="inlineStr">
        <is>
          <t>1,000.00</t>
        </is>
      </c>
      <c r="I333" t="inlineStr">
        <is>
          <t>أدوات صحية</t>
        </is>
      </c>
    </row>
    <row r="334">
      <c r="A334">
        <f>IMAGE("https://files.manuscdn.com/user_upload_by_module/session_file/310519663766182518/nThnQpMZvCtRPmeO.png")</f>
        <v/>
      </c>
      <c r="B334" t="inlineStr">
        <is>
          <t>product_page053_item04</t>
        </is>
      </c>
      <c r="C334" t="inlineStr">
        <is>
          <t>Blocko</t>
        </is>
      </c>
      <c r="D334" t="inlineStr">
        <is>
          <t>N/A</t>
        </is>
      </c>
      <c r="E334" t="inlineStr"/>
      <c r="F334" t="inlineStr">
        <is>
          <t>متنوع</t>
        </is>
      </c>
      <c r="G334" t="inlineStr"/>
      <c r="H334" t="inlineStr">
        <is>
          <t>1,000.00</t>
        </is>
      </c>
      <c r="I334" t="inlineStr">
        <is>
          <t>أدوات صحية</t>
        </is>
      </c>
    </row>
    <row r="335">
      <c r="A335">
        <f>IMAGE("https://files.manuscdn.com/user_upload_by_module/session_file/310519663766182518/DWvBGlYUSccCkETX.png")</f>
        <v/>
      </c>
      <c r="B335" t="inlineStr">
        <is>
          <t>product_page053_item05</t>
        </is>
      </c>
      <c r="C335" t="inlineStr">
        <is>
          <t>Blocko</t>
        </is>
      </c>
      <c r="D335" t="inlineStr">
        <is>
          <t>N/A</t>
        </is>
      </c>
      <c r="E335" t="inlineStr"/>
      <c r="F335" t="inlineStr">
        <is>
          <t>متنوع</t>
        </is>
      </c>
      <c r="G335" t="inlineStr"/>
      <c r="H335" t="inlineStr">
        <is>
          <t>1,000.00</t>
        </is>
      </c>
      <c r="I335" t="inlineStr">
        <is>
          <t>أدوات صحية</t>
        </is>
      </c>
    </row>
    <row r="336">
      <c r="A336">
        <f>IMAGE("https://files.manuscdn.com/user_upload_by_module/session_file/310519663766182518/OPuIDcTHjiKuMtDO.png")</f>
        <v/>
      </c>
      <c r="B336" t="inlineStr">
        <is>
          <t>product_page053_item06</t>
        </is>
      </c>
      <c r="C336" t="inlineStr">
        <is>
          <t>Blocko</t>
        </is>
      </c>
      <c r="D336" t="inlineStr">
        <is>
          <t>N/A</t>
        </is>
      </c>
      <c r="E336" t="inlineStr"/>
      <c r="F336" t="inlineStr">
        <is>
          <t>متنوع</t>
        </is>
      </c>
      <c r="G336" t="inlineStr"/>
      <c r="H336" t="inlineStr">
        <is>
          <t>1,000.00</t>
        </is>
      </c>
      <c r="I336" t="inlineStr">
        <is>
          <t>أدوات صحية</t>
        </is>
      </c>
    </row>
    <row r="337">
      <c r="A337">
        <f>IMAGE("https://files.manuscdn.com/user_upload_by_module/session_file/310519663766182518/AOzNmFZirhNpJjyB.png")</f>
        <v/>
      </c>
      <c r="B337" t="inlineStr">
        <is>
          <t>product_page053_item07</t>
        </is>
      </c>
      <c r="C337" t="inlineStr">
        <is>
          <t>Blocko</t>
        </is>
      </c>
      <c r="D337" t="inlineStr">
        <is>
          <t>N/A</t>
        </is>
      </c>
      <c r="E337" t="inlineStr"/>
      <c r="F337" t="inlineStr">
        <is>
          <t>متنوع</t>
        </is>
      </c>
      <c r="G337" t="inlineStr"/>
      <c r="H337" t="inlineStr">
        <is>
          <t>1,000.00</t>
        </is>
      </c>
      <c r="I337" t="inlineStr">
        <is>
          <t>أدوات صحية</t>
        </is>
      </c>
    </row>
    <row r="338">
      <c r="A338">
        <f>IMAGE("https://files.manuscdn.com/user_upload_by_module/session_file/310519663766182518/EJdjDAMitLnsZJRB.png")</f>
        <v/>
      </c>
      <c r="B338" t="inlineStr">
        <is>
          <t>product_page054_item00</t>
        </is>
      </c>
      <c r="C338" t="inlineStr">
        <is>
          <t>Blocko</t>
        </is>
      </c>
      <c r="D338" t="inlineStr">
        <is>
          <t>N/A</t>
        </is>
      </c>
      <c r="E338" t="inlineStr"/>
      <c r="F338" t="inlineStr">
        <is>
          <t>متنوع</t>
        </is>
      </c>
      <c r="G338" t="inlineStr"/>
      <c r="H338" t="inlineStr">
        <is>
          <t>1,000.00</t>
        </is>
      </c>
      <c r="I338" t="inlineStr">
        <is>
          <t>أدوات صحية</t>
        </is>
      </c>
    </row>
    <row r="339">
      <c r="A339">
        <f>IMAGE("https://files.manuscdn.com/user_upload_by_module/session_file/310519663766182518/fppkLLpQgiZVYTsi.png")</f>
        <v/>
      </c>
      <c r="B339" t="inlineStr">
        <is>
          <t>product_page054_item01</t>
        </is>
      </c>
      <c r="C339" t="inlineStr">
        <is>
          <t>Blocko</t>
        </is>
      </c>
      <c r="D339" t="inlineStr">
        <is>
          <t>N/A</t>
        </is>
      </c>
      <c r="E339" t="inlineStr"/>
      <c r="F339" t="inlineStr">
        <is>
          <t>متنوع</t>
        </is>
      </c>
      <c r="G339" t="inlineStr"/>
      <c r="H339" t="inlineStr">
        <is>
          <t>1,000.00</t>
        </is>
      </c>
      <c r="I339" t="inlineStr">
        <is>
          <t>أدوات صحية</t>
        </is>
      </c>
    </row>
    <row r="340">
      <c r="A340">
        <f>IMAGE("https://files.manuscdn.com/user_upload_by_module/session_file/310519663766182518/tvcEZwigAOVorRlN.png")</f>
        <v/>
      </c>
      <c r="B340" t="inlineStr">
        <is>
          <t>product_page054_item02</t>
        </is>
      </c>
      <c r="C340" t="inlineStr">
        <is>
          <t>Blocko</t>
        </is>
      </c>
      <c r="D340" t="inlineStr">
        <is>
          <t>N/A</t>
        </is>
      </c>
      <c r="E340" t="inlineStr"/>
      <c r="F340" t="inlineStr">
        <is>
          <t>متنوع</t>
        </is>
      </c>
      <c r="G340" t="inlineStr"/>
      <c r="H340" t="inlineStr">
        <is>
          <t>1,000.00</t>
        </is>
      </c>
      <c r="I340" t="inlineStr">
        <is>
          <t>أدوات صحية</t>
        </is>
      </c>
    </row>
    <row r="341">
      <c r="A341">
        <f>IMAGE("https://files.manuscdn.com/user_upload_by_module/session_file/310519663766182518/iYirjXsRvCMPduXE.png")</f>
        <v/>
      </c>
      <c r="B341" t="inlineStr">
        <is>
          <t>product_page054_item03</t>
        </is>
      </c>
      <c r="C341" t="inlineStr">
        <is>
          <t>Blocko</t>
        </is>
      </c>
      <c r="D341" t="inlineStr">
        <is>
          <t>N/A</t>
        </is>
      </c>
      <c r="E341" t="inlineStr"/>
      <c r="F341" t="inlineStr">
        <is>
          <t>متنوع</t>
        </is>
      </c>
      <c r="G341" t="inlineStr"/>
      <c r="H341" t="inlineStr">
        <is>
          <t>1,000.00</t>
        </is>
      </c>
      <c r="I341" t="inlineStr">
        <is>
          <t>أدوات صحية</t>
        </is>
      </c>
    </row>
    <row r="342">
      <c r="A342">
        <f>IMAGE("https://files.manuscdn.com/user_upload_by_module/session_file/310519663766182518/CgfnSrcJtLERajWM.png")</f>
        <v/>
      </c>
      <c r="B342" t="inlineStr">
        <is>
          <t>product_page054_item04</t>
        </is>
      </c>
      <c r="C342" t="inlineStr">
        <is>
          <t>Blocko</t>
        </is>
      </c>
      <c r="D342" t="inlineStr">
        <is>
          <t>N/A</t>
        </is>
      </c>
      <c r="E342" t="inlineStr"/>
      <c r="F342" t="inlineStr">
        <is>
          <t>متنوع</t>
        </is>
      </c>
      <c r="G342" t="inlineStr"/>
      <c r="H342" t="inlineStr">
        <is>
          <t>1,000.00</t>
        </is>
      </c>
      <c r="I342" t="inlineStr">
        <is>
          <t>أدوات صحية</t>
        </is>
      </c>
    </row>
    <row r="343">
      <c r="A343">
        <f>IMAGE("https://files.manuscdn.com/user_upload_by_module/session_file/310519663766182518/bBFWimoDYhBOuRcm.png")</f>
        <v/>
      </c>
      <c r="B343" t="inlineStr">
        <is>
          <t>product_page054_item05</t>
        </is>
      </c>
      <c r="C343" t="inlineStr">
        <is>
          <t>Blocko</t>
        </is>
      </c>
      <c r="D343" t="inlineStr">
        <is>
          <t>N/A</t>
        </is>
      </c>
      <c r="E343" t="inlineStr"/>
      <c r="F343" t="inlineStr">
        <is>
          <t>متنوع</t>
        </is>
      </c>
      <c r="G343" t="inlineStr"/>
      <c r="H343" t="inlineStr">
        <is>
          <t>1,000.00</t>
        </is>
      </c>
      <c r="I343" t="inlineStr">
        <is>
          <t>أدوات صحية</t>
        </is>
      </c>
    </row>
    <row r="344">
      <c r="A344">
        <f>IMAGE("https://files.manuscdn.com/user_upload_by_module/session_file/310519663766182518/hNHitHlbOkFgOPFB.png")</f>
        <v/>
      </c>
      <c r="B344" t="inlineStr">
        <is>
          <t>product_page054_item06</t>
        </is>
      </c>
      <c r="C344" t="inlineStr">
        <is>
          <t>Blocko</t>
        </is>
      </c>
      <c r="D344" t="inlineStr">
        <is>
          <t>N/A</t>
        </is>
      </c>
      <c r="E344" t="inlineStr"/>
      <c r="F344" t="inlineStr">
        <is>
          <t>متنوع</t>
        </is>
      </c>
      <c r="G344" t="inlineStr"/>
      <c r="H344" t="inlineStr">
        <is>
          <t>1,000.00</t>
        </is>
      </c>
      <c r="I344" t="inlineStr">
        <is>
          <t>أدوات صحية</t>
        </is>
      </c>
    </row>
    <row r="345">
      <c r="A345">
        <f>IMAGE("https://files.manuscdn.com/user_upload_by_module/session_file/310519663766182518/btwYtjWbOtUsSvOV.png")</f>
        <v/>
      </c>
      <c r="B345" t="inlineStr">
        <is>
          <t>product_page054_item07</t>
        </is>
      </c>
      <c r="C345" t="inlineStr">
        <is>
          <t>Blocko</t>
        </is>
      </c>
      <c r="D345" t="inlineStr">
        <is>
          <t>N/A</t>
        </is>
      </c>
      <c r="E345" t="inlineStr"/>
      <c r="F345" t="inlineStr">
        <is>
          <t>متنوع</t>
        </is>
      </c>
      <c r="G345" t="inlineStr"/>
      <c r="H345" t="inlineStr">
        <is>
          <t>1,000.00</t>
        </is>
      </c>
      <c r="I345" t="inlineStr">
        <is>
          <t>أدوات صحية</t>
        </is>
      </c>
    </row>
    <row r="346">
      <c r="A346">
        <f>IMAGE("https://files.manuscdn.com/user_upload_by_module/session_file/310519663766182518/FPUpZukvIPJMOeGz.png")</f>
        <v/>
      </c>
      <c r="B346" t="inlineStr">
        <is>
          <t>product_page054_item08</t>
        </is>
      </c>
      <c r="C346" t="inlineStr">
        <is>
          <t>Blocko</t>
        </is>
      </c>
      <c r="D346" t="inlineStr">
        <is>
          <t>N/A</t>
        </is>
      </c>
      <c r="E346" t="inlineStr"/>
      <c r="F346" t="inlineStr">
        <is>
          <t>متنوع</t>
        </is>
      </c>
      <c r="G346" t="inlineStr"/>
      <c r="H346" t="inlineStr">
        <is>
          <t>1,000.00</t>
        </is>
      </c>
      <c r="I346" t="inlineStr">
        <is>
          <t>أدوات صحية</t>
        </is>
      </c>
    </row>
    <row r="347">
      <c r="A347">
        <f>IMAGE("https://files.manuscdn.com/user_upload_by_module/session_file/310519663766182518/TLRcFrqSWKCtpNaU.png")</f>
        <v/>
      </c>
      <c r="B347" t="inlineStr">
        <is>
          <t>product_page054_item09</t>
        </is>
      </c>
      <c r="C347" t="inlineStr">
        <is>
          <t>Blocko</t>
        </is>
      </c>
      <c r="D347" t="inlineStr">
        <is>
          <t>N/A</t>
        </is>
      </c>
      <c r="E347" t="inlineStr"/>
      <c r="F347" t="inlineStr">
        <is>
          <t>متنوع</t>
        </is>
      </c>
      <c r="G347" t="inlineStr"/>
      <c r="H347" t="inlineStr">
        <is>
          <t>1,000.00</t>
        </is>
      </c>
      <c r="I347" t="inlineStr">
        <is>
          <t>أدوات صحية</t>
        </is>
      </c>
    </row>
    <row r="348">
      <c r="A348">
        <f>IMAGE("https://files.manuscdn.com/user_upload_by_module/session_file/310519663766182518/lymqRiFsDdKnYaIj.png")</f>
        <v/>
      </c>
      <c r="B348" t="inlineStr">
        <is>
          <t>product_page054_item10</t>
        </is>
      </c>
      <c r="C348" t="inlineStr">
        <is>
          <t>Blocko</t>
        </is>
      </c>
      <c r="D348" t="inlineStr">
        <is>
          <t>N/A</t>
        </is>
      </c>
      <c r="E348" t="inlineStr"/>
      <c r="F348" t="inlineStr">
        <is>
          <t>متنوع</t>
        </is>
      </c>
      <c r="G348" t="inlineStr"/>
      <c r="H348" t="inlineStr">
        <is>
          <t>1,000.00</t>
        </is>
      </c>
      <c r="I348" t="inlineStr">
        <is>
          <t>أدوات صحية</t>
        </is>
      </c>
    </row>
    <row r="349">
      <c r="A349">
        <f>IMAGE("https://files.manuscdn.com/user_upload_by_module/session_file/310519663766182518/twGETdBIqyFKrLWQ.png")</f>
        <v/>
      </c>
      <c r="B349" t="inlineStr">
        <is>
          <t>product_page054_item11</t>
        </is>
      </c>
      <c r="C349" t="inlineStr">
        <is>
          <t>Blocko</t>
        </is>
      </c>
      <c r="D349" t="inlineStr">
        <is>
          <t>N/A</t>
        </is>
      </c>
      <c r="E349" t="inlineStr"/>
      <c r="F349" t="inlineStr">
        <is>
          <t>متنوع</t>
        </is>
      </c>
      <c r="G349" t="inlineStr"/>
      <c r="H349" t="inlineStr">
        <is>
          <t>1,000.00</t>
        </is>
      </c>
      <c r="I349" t="inlineStr">
        <is>
          <t>أدوات صحية</t>
        </is>
      </c>
    </row>
    <row r="350">
      <c r="A350">
        <f>IMAGE("https://files.manuscdn.com/user_upload_by_module/session_file/310519663766182518/FzrUEREiOkfzYRRh.png")</f>
        <v/>
      </c>
      <c r="B350" t="inlineStr">
        <is>
          <t>product_page055_item00</t>
        </is>
      </c>
      <c r="C350" t="inlineStr">
        <is>
          <t>Blocko</t>
        </is>
      </c>
      <c r="D350" t="inlineStr">
        <is>
          <t>N/A</t>
        </is>
      </c>
      <c r="E350" t="inlineStr"/>
      <c r="F350" t="inlineStr">
        <is>
          <t>متنوع</t>
        </is>
      </c>
      <c r="G350" t="inlineStr"/>
      <c r="H350" t="inlineStr">
        <is>
          <t>1,000.00</t>
        </is>
      </c>
      <c r="I350" t="inlineStr">
        <is>
          <t>أدوات صحية</t>
        </is>
      </c>
    </row>
    <row r="351">
      <c r="A351">
        <f>IMAGE("https://files.manuscdn.com/user_upload_by_module/session_file/310519663766182518/uAyGsXdlsTqEFATv.png")</f>
        <v/>
      </c>
      <c r="B351" t="inlineStr">
        <is>
          <t>product_page055_item01</t>
        </is>
      </c>
      <c r="C351" t="inlineStr">
        <is>
          <t>Blocko</t>
        </is>
      </c>
      <c r="D351" t="inlineStr">
        <is>
          <t>N/A</t>
        </is>
      </c>
      <c r="E351" t="inlineStr"/>
      <c r="F351" t="inlineStr">
        <is>
          <t>متنوع</t>
        </is>
      </c>
      <c r="G351" t="inlineStr"/>
      <c r="H351" t="inlineStr">
        <is>
          <t>1,000.00</t>
        </is>
      </c>
      <c r="I351" t="inlineStr">
        <is>
          <t>أدوات صحية</t>
        </is>
      </c>
    </row>
    <row r="352">
      <c r="A352">
        <f>IMAGE("https://files.manuscdn.com/user_upload_by_module/session_file/310519663766182518/ZsFGjGWjZzEYnMHc.png")</f>
        <v/>
      </c>
      <c r="B352" t="inlineStr">
        <is>
          <t>product_page055_item02</t>
        </is>
      </c>
      <c r="C352" t="inlineStr">
        <is>
          <t>Blocko</t>
        </is>
      </c>
      <c r="D352" t="inlineStr">
        <is>
          <t>N/A</t>
        </is>
      </c>
      <c r="E352" t="inlineStr"/>
      <c r="F352" t="inlineStr">
        <is>
          <t>متنوع</t>
        </is>
      </c>
      <c r="G352" t="inlineStr"/>
      <c r="H352" t="inlineStr">
        <is>
          <t>1,000.00</t>
        </is>
      </c>
      <c r="I352" t="inlineStr">
        <is>
          <t>أدوات صحية</t>
        </is>
      </c>
    </row>
    <row r="353">
      <c r="A353">
        <f>IMAGE("https://files.manuscdn.com/user_upload_by_module/session_file/310519663766182518/BhRQQrpBWCiUmRsU.png")</f>
        <v/>
      </c>
      <c r="B353" t="inlineStr">
        <is>
          <t>product_page055_item03</t>
        </is>
      </c>
      <c r="C353" t="inlineStr">
        <is>
          <t>Blocko</t>
        </is>
      </c>
      <c r="D353" t="inlineStr">
        <is>
          <t>N/A</t>
        </is>
      </c>
      <c r="E353" t="inlineStr"/>
      <c r="F353" t="inlineStr">
        <is>
          <t>متنوع</t>
        </is>
      </c>
      <c r="G353" t="inlineStr"/>
      <c r="H353" t="inlineStr">
        <is>
          <t>1,000.00</t>
        </is>
      </c>
      <c r="I353" t="inlineStr">
        <is>
          <t>أدوات صحية</t>
        </is>
      </c>
    </row>
    <row r="354">
      <c r="A354">
        <f>IMAGE("https://files.manuscdn.com/user_upload_by_module/session_file/310519663766182518/WiSgrUMOjxCHXagn.png")</f>
        <v/>
      </c>
      <c r="B354" t="inlineStr">
        <is>
          <t>product_page055_item04</t>
        </is>
      </c>
      <c r="C354" t="inlineStr">
        <is>
          <t>Blocko</t>
        </is>
      </c>
      <c r="D354" t="inlineStr">
        <is>
          <t>N/A</t>
        </is>
      </c>
      <c r="E354" t="inlineStr"/>
      <c r="F354" t="inlineStr">
        <is>
          <t>متنوع</t>
        </is>
      </c>
      <c r="G354" t="inlineStr"/>
      <c r="H354" t="inlineStr">
        <is>
          <t>1,000.00</t>
        </is>
      </c>
      <c r="I354" t="inlineStr">
        <is>
          <t>أدوات صحية</t>
        </is>
      </c>
    </row>
    <row r="355">
      <c r="A355">
        <f>IMAGE("https://files.manuscdn.com/user_upload_by_module/session_file/310519663766182518/kgAwyVufmboAzKRc.png")</f>
        <v/>
      </c>
      <c r="B355" t="inlineStr">
        <is>
          <t>product_page055_item05</t>
        </is>
      </c>
      <c r="C355" t="inlineStr">
        <is>
          <t>Blocko</t>
        </is>
      </c>
      <c r="D355" t="inlineStr">
        <is>
          <t>N/A</t>
        </is>
      </c>
      <c r="E355" t="inlineStr"/>
      <c r="F355" t="inlineStr">
        <is>
          <t>متنوع</t>
        </is>
      </c>
      <c r="G355" t="inlineStr"/>
      <c r="H355" t="inlineStr">
        <is>
          <t>1,000.00</t>
        </is>
      </c>
      <c r="I355" t="inlineStr">
        <is>
          <t>أدوات صحية</t>
        </is>
      </c>
    </row>
    <row r="356">
      <c r="A356">
        <f>IMAGE("https://files.manuscdn.com/user_upload_by_module/session_file/310519663766182518/kuYnZnRcfSpqawLX.png")</f>
        <v/>
      </c>
      <c r="B356" t="inlineStr">
        <is>
          <t>product_page055_item06</t>
        </is>
      </c>
      <c r="C356" t="inlineStr">
        <is>
          <t>Blocko</t>
        </is>
      </c>
      <c r="D356" t="inlineStr">
        <is>
          <t>N/A</t>
        </is>
      </c>
      <c r="E356" t="inlineStr"/>
      <c r="F356" t="inlineStr">
        <is>
          <t>متنوع</t>
        </is>
      </c>
      <c r="G356" t="inlineStr"/>
      <c r="H356" t="inlineStr">
        <is>
          <t>1,000.00</t>
        </is>
      </c>
      <c r="I356" t="inlineStr">
        <is>
          <t>أدوات صحية</t>
        </is>
      </c>
    </row>
    <row r="357">
      <c r="A357">
        <f>IMAGE("https://files.manuscdn.com/user_upload_by_module/session_file/310519663766182518/VnrCjlYqVENasgRI.png")</f>
        <v/>
      </c>
      <c r="B357" t="inlineStr">
        <is>
          <t>product_page055_item07</t>
        </is>
      </c>
      <c r="C357" t="inlineStr">
        <is>
          <t>Blocko</t>
        </is>
      </c>
      <c r="D357" t="inlineStr">
        <is>
          <t>N/A</t>
        </is>
      </c>
      <c r="E357" t="inlineStr"/>
      <c r="F357" t="inlineStr">
        <is>
          <t>متنوع</t>
        </is>
      </c>
      <c r="G357" t="inlineStr"/>
      <c r="H357" t="inlineStr">
        <is>
          <t>1,000.00</t>
        </is>
      </c>
      <c r="I357" t="inlineStr">
        <is>
          <t>أدوات صحية</t>
        </is>
      </c>
    </row>
    <row r="358">
      <c r="A358">
        <f>IMAGE("https://files.manuscdn.com/user_upload_by_module/session_file/310519663766182518/cbWzMhmPHhqgFyse.png")</f>
        <v/>
      </c>
      <c r="B358" t="inlineStr">
        <is>
          <t>product_page056_item00</t>
        </is>
      </c>
      <c r="C358" t="inlineStr">
        <is>
          <t>Blocko</t>
        </is>
      </c>
      <c r="D358" t="inlineStr">
        <is>
          <t>N/A</t>
        </is>
      </c>
      <c r="E358" t="inlineStr"/>
      <c r="F358" t="inlineStr">
        <is>
          <t>متنوع</t>
        </is>
      </c>
      <c r="G358" t="inlineStr"/>
      <c r="H358" t="inlineStr">
        <is>
          <t>1,000.00</t>
        </is>
      </c>
      <c r="I358" t="inlineStr">
        <is>
          <t>أدوات صحية</t>
        </is>
      </c>
    </row>
    <row r="359">
      <c r="A359">
        <f>IMAGE("https://files.manuscdn.com/user_upload_by_module/session_file/310519663766182518/gEbemYBchyzfEQRX.png")</f>
        <v/>
      </c>
      <c r="B359" t="inlineStr">
        <is>
          <t>product_page056_item01</t>
        </is>
      </c>
      <c r="C359" t="inlineStr">
        <is>
          <t>Blocko</t>
        </is>
      </c>
      <c r="D359" t="inlineStr">
        <is>
          <t>N/A</t>
        </is>
      </c>
      <c r="E359" t="inlineStr"/>
      <c r="F359" t="inlineStr">
        <is>
          <t>متنوع</t>
        </is>
      </c>
      <c r="G359" t="inlineStr"/>
      <c r="H359" t="inlineStr">
        <is>
          <t>1,000.00</t>
        </is>
      </c>
      <c r="I359" t="inlineStr">
        <is>
          <t>أدوات صحية</t>
        </is>
      </c>
    </row>
    <row r="360">
      <c r="A360">
        <f>IMAGE("https://files.manuscdn.com/user_upload_by_module/session_file/310519663766182518/VSMJLmMBPwJfqnFM.png")</f>
        <v/>
      </c>
      <c r="B360" t="inlineStr">
        <is>
          <t>product_page056_item02</t>
        </is>
      </c>
      <c r="C360" t="inlineStr">
        <is>
          <t>Blocko</t>
        </is>
      </c>
      <c r="D360" t="inlineStr">
        <is>
          <t>N/A</t>
        </is>
      </c>
      <c r="E360" t="inlineStr"/>
      <c r="F360" t="inlineStr">
        <is>
          <t>متنوع</t>
        </is>
      </c>
      <c r="G360" t="inlineStr"/>
      <c r="H360" t="inlineStr">
        <is>
          <t>1,000.00</t>
        </is>
      </c>
      <c r="I360" t="inlineStr">
        <is>
          <t>أدوات صحية</t>
        </is>
      </c>
    </row>
    <row r="361">
      <c r="A361">
        <f>IMAGE("https://files.manuscdn.com/user_upload_by_module/session_file/310519663766182518/heovPCPBQZQFQvco.png")</f>
        <v/>
      </c>
      <c r="B361" t="inlineStr">
        <is>
          <t>product_page056_item03</t>
        </is>
      </c>
      <c r="C361" t="inlineStr">
        <is>
          <t>Blocko</t>
        </is>
      </c>
      <c r="D361" t="inlineStr">
        <is>
          <t>N/A</t>
        </is>
      </c>
      <c r="E361" t="inlineStr"/>
      <c r="F361" t="inlineStr">
        <is>
          <t>متنوع</t>
        </is>
      </c>
      <c r="G361" t="inlineStr"/>
      <c r="H361" t="inlineStr">
        <is>
          <t>1,000.00</t>
        </is>
      </c>
      <c r="I361" t="inlineStr">
        <is>
          <t>أدوات صحية</t>
        </is>
      </c>
    </row>
    <row r="362">
      <c r="A362">
        <f>IMAGE("https://files.manuscdn.com/user_upload_by_module/session_file/310519663766182518/BrSsQMVOTPAScbJP.png")</f>
        <v/>
      </c>
      <c r="B362" t="inlineStr">
        <is>
          <t>product_page057_item00</t>
        </is>
      </c>
      <c r="C362" t="inlineStr">
        <is>
          <t>Blocko</t>
        </is>
      </c>
      <c r="D362" t="inlineStr">
        <is>
          <t>N/A</t>
        </is>
      </c>
      <c r="E362" t="inlineStr"/>
      <c r="F362" t="inlineStr">
        <is>
          <t>متنوع</t>
        </is>
      </c>
      <c r="G362" t="inlineStr"/>
      <c r="H362" t="inlineStr">
        <is>
          <t>1,000.00</t>
        </is>
      </c>
      <c r="I362" t="inlineStr">
        <is>
          <t>أدوات صحية</t>
        </is>
      </c>
    </row>
    <row r="363">
      <c r="A363">
        <f>IMAGE("https://files.manuscdn.com/user_upload_by_module/session_file/310519663766182518/UCcyZvHDYxYxTCyS.png")</f>
        <v/>
      </c>
      <c r="B363" t="inlineStr">
        <is>
          <t>product_page057_item01</t>
        </is>
      </c>
      <c r="C363" t="inlineStr">
        <is>
          <t>Blocko</t>
        </is>
      </c>
      <c r="D363" t="inlineStr">
        <is>
          <t>N/A</t>
        </is>
      </c>
      <c r="E363" t="inlineStr"/>
      <c r="F363" t="inlineStr">
        <is>
          <t>متنوع</t>
        </is>
      </c>
      <c r="G363" t="inlineStr"/>
      <c r="H363" t="inlineStr">
        <is>
          <t>1,000.00</t>
        </is>
      </c>
      <c r="I363" t="inlineStr">
        <is>
          <t>أدوات صحية</t>
        </is>
      </c>
    </row>
    <row r="364">
      <c r="A364">
        <f>IMAGE("https://files.manuscdn.com/user_upload_by_module/session_file/310519663766182518/ZEnniQSuGPEjMEZi.png")</f>
        <v/>
      </c>
      <c r="B364" t="inlineStr">
        <is>
          <t>product_page057_item02</t>
        </is>
      </c>
      <c r="C364" t="inlineStr">
        <is>
          <t>Blocko</t>
        </is>
      </c>
      <c r="D364" t="inlineStr">
        <is>
          <t>N/A</t>
        </is>
      </c>
      <c r="E364" t="inlineStr"/>
      <c r="F364" t="inlineStr">
        <is>
          <t>متنوع</t>
        </is>
      </c>
      <c r="G364" t="inlineStr"/>
      <c r="H364" t="inlineStr">
        <is>
          <t>1,000.00</t>
        </is>
      </c>
      <c r="I364" t="inlineStr">
        <is>
          <t>أدوات صحية</t>
        </is>
      </c>
    </row>
    <row r="365">
      <c r="A365">
        <f>IMAGE("https://files.manuscdn.com/user_upload_by_module/session_file/310519663766182518/uujMTToaTMIgFKHb.png")</f>
        <v/>
      </c>
      <c r="B365" t="inlineStr">
        <is>
          <t>product_page057_item03</t>
        </is>
      </c>
      <c r="C365" t="inlineStr">
        <is>
          <t>Blocko</t>
        </is>
      </c>
      <c r="D365" t="inlineStr">
        <is>
          <t>N/A</t>
        </is>
      </c>
      <c r="E365" t="inlineStr"/>
      <c r="F365" t="inlineStr">
        <is>
          <t>متنوع</t>
        </is>
      </c>
      <c r="G365" t="inlineStr"/>
      <c r="H365" t="inlineStr">
        <is>
          <t>1,000.00</t>
        </is>
      </c>
      <c r="I365" t="inlineStr">
        <is>
          <t>أدوات صحية</t>
        </is>
      </c>
    </row>
    <row r="366">
      <c r="A366">
        <f>IMAGE("https://files.manuscdn.com/user_upload_by_module/session_file/310519663766182518/hxSAlImnKHbBAaiM.png")</f>
        <v/>
      </c>
      <c r="B366" t="inlineStr">
        <is>
          <t>product_page057_item04</t>
        </is>
      </c>
      <c r="C366" t="inlineStr">
        <is>
          <t>Blocko</t>
        </is>
      </c>
      <c r="D366" t="inlineStr">
        <is>
          <t>N/A</t>
        </is>
      </c>
      <c r="E366" t="inlineStr"/>
      <c r="F366" t="inlineStr">
        <is>
          <t>متنوع</t>
        </is>
      </c>
      <c r="G366" t="inlineStr"/>
      <c r="H366" t="inlineStr">
        <is>
          <t>1,000.00</t>
        </is>
      </c>
      <c r="I366" t="inlineStr">
        <is>
          <t>أدوات صحية</t>
        </is>
      </c>
    </row>
    <row r="367">
      <c r="A367">
        <f>IMAGE("https://files.manuscdn.com/user_upload_by_module/session_file/310519663766182518/eYKtDgGeOiGvdbGz.png")</f>
        <v/>
      </c>
      <c r="B367" t="inlineStr">
        <is>
          <t>product_page057_item05</t>
        </is>
      </c>
      <c r="C367" t="inlineStr">
        <is>
          <t>Blocko</t>
        </is>
      </c>
      <c r="D367" t="inlineStr">
        <is>
          <t>N/A</t>
        </is>
      </c>
      <c r="E367" t="inlineStr"/>
      <c r="F367" t="inlineStr">
        <is>
          <t>متنوع</t>
        </is>
      </c>
      <c r="G367" t="inlineStr"/>
      <c r="H367" t="inlineStr">
        <is>
          <t>1,000.00</t>
        </is>
      </c>
      <c r="I367" t="inlineStr">
        <is>
          <t>أدوات صحية</t>
        </is>
      </c>
    </row>
    <row r="368">
      <c r="A368">
        <f>IMAGE("https://files.manuscdn.com/user_upload_by_module/session_file/310519663766182518/zOUDLBmAxtDTtELY.png")</f>
        <v/>
      </c>
      <c r="B368" t="inlineStr">
        <is>
          <t>product_page058_item01</t>
        </is>
      </c>
      <c r="C368" t="inlineStr">
        <is>
          <t>Blocko</t>
        </is>
      </c>
      <c r="D368" t="inlineStr">
        <is>
          <t>N/A</t>
        </is>
      </c>
      <c r="E368" t="inlineStr"/>
      <c r="F368" t="inlineStr">
        <is>
          <t>متنوع</t>
        </is>
      </c>
      <c r="G368" t="inlineStr"/>
      <c r="H368" t="inlineStr">
        <is>
          <t>1,000.00</t>
        </is>
      </c>
      <c r="I368" t="inlineStr">
        <is>
          <t>أدوات صحية</t>
        </is>
      </c>
    </row>
    <row r="369">
      <c r="A369">
        <f>IMAGE("https://files.manuscdn.com/user_upload_by_module/session_file/310519663766182518/gQRsvRrphKjdfPUf.png")</f>
        <v/>
      </c>
      <c r="B369" t="inlineStr">
        <is>
          <t>product_page058_item02</t>
        </is>
      </c>
      <c r="C369" t="inlineStr">
        <is>
          <t>Blocko</t>
        </is>
      </c>
      <c r="D369" t="inlineStr">
        <is>
          <t>N/A</t>
        </is>
      </c>
      <c r="E369" t="inlineStr"/>
      <c r="F369" t="inlineStr">
        <is>
          <t>متنوع</t>
        </is>
      </c>
      <c r="G369" t="inlineStr"/>
      <c r="H369" t="inlineStr">
        <is>
          <t>1,000.00</t>
        </is>
      </c>
      <c r="I369" t="inlineStr">
        <is>
          <t>أدوات صحية</t>
        </is>
      </c>
    </row>
    <row r="370">
      <c r="A370">
        <f>IMAGE("https://files.manuscdn.com/user_upload_by_module/session_file/310519663766182518/BtgsnYMNLfsjAqDq.png")</f>
        <v/>
      </c>
      <c r="B370" t="inlineStr">
        <is>
          <t>product_page058_item03</t>
        </is>
      </c>
      <c r="C370" t="inlineStr">
        <is>
          <t>Blocko</t>
        </is>
      </c>
      <c r="D370" t="inlineStr">
        <is>
          <t>N/A</t>
        </is>
      </c>
      <c r="E370" t="inlineStr"/>
      <c r="F370" t="inlineStr">
        <is>
          <t>متنوع</t>
        </is>
      </c>
      <c r="G370" t="inlineStr"/>
      <c r="H370" t="inlineStr">
        <is>
          <t>1,000.00</t>
        </is>
      </c>
      <c r="I370" t="inlineStr">
        <is>
          <t>أدوات صحية</t>
        </is>
      </c>
    </row>
    <row r="371">
      <c r="A371">
        <f>IMAGE("https://files.manuscdn.com/user_upload_by_module/session_file/310519663766182518/qVMyEmxeNHQEaMgV.png")</f>
        <v/>
      </c>
      <c r="B371" t="inlineStr">
        <is>
          <t>product_page058_item04</t>
        </is>
      </c>
      <c r="C371" t="inlineStr">
        <is>
          <t>Blocko</t>
        </is>
      </c>
      <c r="D371" t="inlineStr">
        <is>
          <t>N/A</t>
        </is>
      </c>
      <c r="E371" t="inlineStr"/>
      <c r="F371" t="inlineStr">
        <is>
          <t>متنوع</t>
        </is>
      </c>
      <c r="G371" t="inlineStr"/>
      <c r="H371" t="inlineStr">
        <is>
          <t>1,000.00</t>
        </is>
      </c>
      <c r="I371" t="inlineStr">
        <is>
          <t>أدوات صحية</t>
        </is>
      </c>
    </row>
    <row r="372">
      <c r="A372">
        <f>IMAGE("https://files.manuscdn.com/user_upload_by_module/session_file/310519663766182518/wdARRalgGtyKFmEH.png")</f>
        <v/>
      </c>
      <c r="B372" t="inlineStr">
        <is>
          <t>product_page058_item05</t>
        </is>
      </c>
      <c r="C372" t="inlineStr">
        <is>
          <t>Blocko</t>
        </is>
      </c>
      <c r="D372" t="inlineStr">
        <is>
          <t>N/A</t>
        </is>
      </c>
      <c r="E372" t="inlineStr"/>
      <c r="F372" t="inlineStr">
        <is>
          <t>متنوع</t>
        </is>
      </c>
      <c r="G372" t="inlineStr"/>
      <c r="H372" t="inlineStr">
        <is>
          <t>1,000.00</t>
        </is>
      </c>
      <c r="I372" t="inlineStr">
        <is>
          <t>أدوات صحية</t>
        </is>
      </c>
    </row>
    <row r="373">
      <c r="A373">
        <f>IMAGE("https://files.manuscdn.com/user_upload_by_module/session_file/310519663766182518/EsEOuMLuZpJUOndt.png")</f>
        <v/>
      </c>
      <c r="B373" t="inlineStr">
        <is>
          <t>product_page058_item06</t>
        </is>
      </c>
      <c r="C373" t="inlineStr">
        <is>
          <t>Blocko</t>
        </is>
      </c>
      <c r="D373" t="inlineStr">
        <is>
          <t>N/A</t>
        </is>
      </c>
      <c r="E373" t="inlineStr"/>
      <c r="F373" t="inlineStr">
        <is>
          <t>متنوع</t>
        </is>
      </c>
      <c r="G373" t="inlineStr"/>
      <c r="H373" t="inlineStr">
        <is>
          <t>1,000.00</t>
        </is>
      </c>
      <c r="I373" t="inlineStr">
        <is>
          <t>أدوات صحية</t>
        </is>
      </c>
    </row>
    <row r="374">
      <c r="A374">
        <f>IMAGE("https://files.manuscdn.com/user_upload_by_module/session_file/310519663766182518/zgroFsDBnhtamkfd.png")</f>
        <v/>
      </c>
      <c r="B374" t="inlineStr">
        <is>
          <t>product_page058_item07</t>
        </is>
      </c>
      <c r="C374" t="inlineStr">
        <is>
          <t>Blocko</t>
        </is>
      </c>
      <c r="D374" t="inlineStr">
        <is>
          <t>N/A</t>
        </is>
      </c>
      <c r="E374" t="inlineStr"/>
      <c r="F374" t="inlineStr">
        <is>
          <t>متنوع</t>
        </is>
      </c>
      <c r="G374" t="inlineStr"/>
      <c r="H374" t="inlineStr">
        <is>
          <t>1,000.00</t>
        </is>
      </c>
      <c r="I374" t="inlineStr">
        <is>
          <t>أدوات صحية</t>
        </is>
      </c>
    </row>
    <row r="375">
      <c r="A375">
        <f>IMAGE("https://files.manuscdn.com/user_upload_by_module/session_file/310519663766182518/WtQkDuSyzoCmIofD.png")</f>
        <v/>
      </c>
      <c r="B375" t="inlineStr">
        <is>
          <t>product_page058_item08</t>
        </is>
      </c>
      <c r="C375" t="inlineStr">
        <is>
          <t>Blocko</t>
        </is>
      </c>
      <c r="D375" t="inlineStr">
        <is>
          <t>N/A</t>
        </is>
      </c>
      <c r="E375" t="inlineStr"/>
      <c r="F375" t="inlineStr">
        <is>
          <t>متنوع</t>
        </is>
      </c>
      <c r="G375" t="inlineStr"/>
      <c r="H375" t="inlineStr">
        <is>
          <t>1,000.00</t>
        </is>
      </c>
      <c r="I375" t="inlineStr">
        <is>
          <t>أدوات صحية</t>
        </is>
      </c>
    </row>
    <row r="376">
      <c r="A376">
        <f>IMAGE("https://files.manuscdn.com/user_upload_by_module/session_file/310519663766182518/UguYBgPuYcFrfwkU.png")</f>
        <v/>
      </c>
      <c r="B376" t="inlineStr">
        <is>
          <t>product_page059_item00</t>
        </is>
      </c>
      <c r="C376" t="inlineStr">
        <is>
          <t>Blocko</t>
        </is>
      </c>
      <c r="D376" t="inlineStr">
        <is>
          <t>N/A</t>
        </is>
      </c>
      <c r="E376" t="inlineStr"/>
      <c r="F376" t="inlineStr">
        <is>
          <t>متنوع</t>
        </is>
      </c>
      <c r="G376" t="inlineStr"/>
      <c r="H376" t="inlineStr">
        <is>
          <t>1,000.00</t>
        </is>
      </c>
      <c r="I376" t="inlineStr">
        <is>
          <t>أدوات صحية</t>
        </is>
      </c>
    </row>
    <row r="377">
      <c r="A377">
        <f>IMAGE("https://files.manuscdn.com/user_upload_by_module/session_file/310519663766182518/TiIyFskudsmYFHOJ.png")</f>
        <v/>
      </c>
      <c r="B377" t="inlineStr">
        <is>
          <t>product_page059_item01</t>
        </is>
      </c>
      <c r="C377" t="inlineStr">
        <is>
          <t>Blocko</t>
        </is>
      </c>
      <c r="D377" t="inlineStr">
        <is>
          <t>N/A</t>
        </is>
      </c>
      <c r="E377" t="inlineStr"/>
      <c r="F377" t="inlineStr">
        <is>
          <t>متنوع</t>
        </is>
      </c>
      <c r="G377" t="inlineStr"/>
      <c r="H377" t="inlineStr">
        <is>
          <t>1,000.00</t>
        </is>
      </c>
      <c r="I377" t="inlineStr">
        <is>
          <t>أدوات صحية</t>
        </is>
      </c>
    </row>
    <row r="378">
      <c r="A378">
        <f>IMAGE("https://files.manuscdn.com/user_upload_by_module/session_file/310519663766182518/LLvWKBzOXJynGFZt.png")</f>
        <v/>
      </c>
      <c r="B378" t="inlineStr">
        <is>
          <t>product_page059_item02</t>
        </is>
      </c>
      <c r="C378" t="inlineStr">
        <is>
          <t>Blocko</t>
        </is>
      </c>
      <c r="D378" t="inlineStr">
        <is>
          <t>N/A</t>
        </is>
      </c>
      <c r="E378" t="inlineStr"/>
      <c r="F378" t="inlineStr">
        <is>
          <t>متنوع</t>
        </is>
      </c>
      <c r="G378" t="inlineStr"/>
      <c r="H378" t="inlineStr">
        <is>
          <t>1,000.00</t>
        </is>
      </c>
      <c r="I378" t="inlineStr">
        <is>
          <t>أدوات صحية</t>
        </is>
      </c>
    </row>
    <row r="379">
      <c r="A379">
        <f>IMAGE("https://files.manuscdn.com/user_upload_by_module/session_file/310519663766182518/IzmREGnYaJyZppml.png")</f>
        <v/>
      </c>
      <c r="B379" t="inlineStr">
        <is>
          <t>product_page059_item03</t>
        </is>
      </c>
      <c r="C379" t="inlineStr">
        <is>
          <t>Blocko</t>
        </is>
      </c>
      <c r="D379" t="inlineStr">
        <is>
          <t>N/A</t>
        </is>
      </c>
      <c r="E379" t="inlineStr"/>
      <c r="F379" t="inlineStr">
        <is>
          <t>متنوع</t>
        </is>
      </c>
      <c r="G379" t="inlineStr"/>
      <c r="H379" t="inlineStr">
        <is>
          <t>1,000.00</t>
        </is>
      </c>
      <c r="I379" t="inlineStr">
        <is>
          <t>أدوات صحية</t>
        </is>
      </c>
    </row>
    <row r="380">
      <c r="A380">
        <f>IMAGE("https://files.manuscdn.com/user_upload_by_module/session_file/310519663766182518/XFVDhhYVwPpcGNRR.png")</f>
        <v/>
      </c>
      <c r="B380" t="inlineStr">
        <is>
          <t>product_page059_item04</t>
        </is>
      </c>
      <c r="C380" t="inlineStr">
        <is>
          <t>Blocko</t>
        </is>
      </c>
      <c r="D380" t="inlineStr">
        <is>
          <t>N/A</t>
        </is>
      </c>
      <c r="E380" t="inlineStr"/>
      <c r="F380" t="inlineStr">
        <is>
          <t>متنوع</t>
        </is>
      </c>
      <c r="G380" t="inlineStr"/>
      <c r="H380" t="inlineStr">
        <is>
          <t>1,000.00</t>
        </is>
      </c>
      <c r="I380" t="inlineStr">
        <is>
          <t>أدوات صحية</t>
        </is>
      </c>
    </row>
    <row r="381">
      <c r="A381">
        <f>IMAGE("https://files.manuscdn.com/user_upload_by_module/session_file/310519663766182518/coFhZctnNvzuBLIL.png")</f>
        <v/>
      </c>
      <c r="B381" t="inlineStr">
        <is>
          <t>product_page059_item05</t>
        </is>
      </c>
      <c r="C381" t="inlineStr">
        <is>
          <t>Blocko</t>
        </is>
      </c>
      <c r="D381" t="inlineStr">
        <is>
          <t>N/A</t>
        </is>
      </c>
      <c r="E381" t="inlineStr"/>
      <c r="F381" t="inlineStr">
        <is>
          <t>متنوع</t>
        </is>
      </c>
      <c r="G381" t="inlineStr"/>
      <c r="H381" t="inlineStr">
        <is>
          <t>1,000.00</t>
        </is>
      </c>
      <c r="I381" t="inlineStr">
        <is>
          <t>أدوات صحية</t>
        </is>
      </c>
    </row>
    <row r="382">
      <c r="A382">
        <f>IMAGE("https://files.manuscdn.com/user_upload_by_module/session_file/310519663766182518/iWbkWEElEwzVbZxN.png")</f>
        <v/>
      </c>
      <c r="B382" t="inlineStr">
        <is>
          <t>product_page059_item06</t>
        </is>
      </c>
      <c r="C382" t="inlineStr">
        <is>
          <t>Blocko</t>
        </is>
      </c>
      <c r="D382" t="inlineStr">
        <is>
          <t>N/A</t>
        </is>
      </c>
      <c r="E382" t="inlineStr"/>
      <c r="F382" t="inlineStr">
        <is>
          <t>متنوع</t>
        </is>
      </c>
      <c r="G382" t="inlineStr"/>
      <c r="H382" t="inlineStr">
        <is>
          <t>1,000.00</t>
        </is>
      </c>
      <c r="I382" t="inlineStr">
        <is>
          <t>أدوات صحية</t>
        </is>
      </c>
    </row>
    <row r="383">
      <c r="A383">
        <f>IMAGE("https://files.manuscdn.com/user_upload_by_module/session_file/310519663766182518/invEhUOWIdfRJIIk.png")</f>
        <v/>
      </c>
      <c r="B383" t="inlineStr">
        <is>
          <t>product_page059_item07</t>
        </is>
      </c>
      <c r="C383" t="inlineStr">
        <is>
          <t>Blocko</t>
        </is>
      </c>
      <c r="D383" t="inlineStr">
        <is>
          <t>N/A</t>
        </is>
      </c>
      <c r="E383" t="inlineStr"/>
      <c r="F383" t="inlineStr">
        <is>
          <t>متنوع</t>
        </is>
      </c>
      <c r="G383" t="inlineStr"/>
      <c r="H383" t="inlineStr">
        <is>
          <t>1,000.00</t>
        </is>
      </c>
      <c r="I383" t="inlineStr">
        <is>
          <t>أدوات صحية</t>
        </is>
      </c>
    </row>
    <row r="384">
      <c r="A384">
        <f>IMAGE("https://files.manuscdn.com/user_upload_by_module/session_file/310519663766182518/ZKYLolGFxwgTDVOk.png")</f>
        <v/>
      </c>
      <c r="B384" t="inlineStr">
        <is>
          <t>product_page060_item00</t>
        </is>
      </c>
      <c r="C384" t="inlineStr">
        <is>
          <t>Blocko</t>
        </is>
      </c>
      <c r="D384" t="inlineStr">
        <is>
          <t>N/A</t>
        </is>
      </c>
      <c r="E384" t="inlineStr"/>
      <c r="F384" t="inlineStr">
        <is>
          <t>متنوع</t>
        </is>
      </c>
      <c r="G384" t="inlineStr"/>
      <c r="H384" t="inlineStr">
        <is>
          <t>1,000.00</t>
        </is>
      </c>
      <c r="I384" t="inlineStr">
        <is>
          <t>أدوات صحية</t>
        </is>
      </c>
    </row>
    <row r="385">
      <c r="A385">
        <f>IMAGE("https://files.manuscdn.com/user_upload_by_module/session_file/310519663766182518/IXDuBRJyZTezsSLQ.png")</f>
        <v/>
      </c>
      <c r="B385" t="inlineStr">
        <is>
          <t>product_page060_item01</t>
        </is>
      </c>
      <c r="C385" t="inlineStr">
        <is>
          <t>Blocko</t>
        </is>
      </c>
      <c r="D385" t="inlineStr">
        <is>
          <t>N/A</t>
        </is>
      </c>
      <c r="E385" t="inlineStr"/>
      <c r="F385" t="inlineStr">
        <is>
          <t>متنوع</t>
        </is>
      </c>
      <c r="G385" t="inlineStr"/>
      <c r="H385" t="inlineStr">
        <is>
          <t>1,000.00</t>
        </is>
      </c>
      <c r="I385" t="inlineStr">
        <is>
          <t>أدوات صحية</t>
        </is>
      </c>
    </row>
    <row r="386">
      <c r="A386">
        <f>IMAGE("https://files.manuscdn.com/user_upload_by_module/session_file/310519663766182518/VOqMECmfeNmwGQzp.png")</f>
        <v/>
      </c>
      <c r="B386" t="inlineStr">
        <is>
          <t>product_page060_item02</t>
        </is>
      </c>
      <c r="C386" t="inlineStr">
        <is>
          <t>Blocko</t>
        </is>
      </c>
      <c r="D386" t="inlineStr">
        <is>
          <t>N/A</t>
        </is>
      </c>
      <c r="E386" t="inlineStr"/>
      <c r="F386" t="inlineStr">
        <is>
          <t>متنوع</t>
        </is>
      </c>
      <c r="G386" t="inlineStr"/>
      <c r="H386" t="inlineStr">
        <is>
          <t>1,000.00</t>
        </is>
      </c>
      <c r="I386" t="inlineStr">
        <is>
          <t>أدوات صحية</t>
        </is>
      </c>
    </row>
    <row r="387">
      <c r="A387">
        <f>IMAGE("https://files.manuscdn.com/user_upload_by_module/session_file/310519663766182518/VBijtBzslvebHFlI.png")</f>
        <v/>
      </c>
      <c r="B387" t="inlineStr">
        <is>
          <t>product_page060_item03</t>
        </is>
      </c>
      <c r="C387" t="inlineStr">
        <is>
          <t>Blocko</t>
        </is>
      </c>
      <c r="D387" t="inlineStr">
        <is>
          <t>N/A</t>
        </is>
      </c>
      <c r="E387" t="inlineStr"/>
      <c r="F387" t="inlineStr">
        <is>
          <t>متنوع</t>
        </is>
      </c>
      <c r="G387" t="inlineStr"/>
      <c r="H387" t="inlineStr">
        <is>
          <t>1,000.00</t>
        </is>
      </c>
      <c r="I387" t="inlineStr">
        <is>
          <t>أدوات صحية</t>
        </is>
      </c>
    </row>
    <row r="388">
      <c r="A388">
        <f>IMAGE("https://files.manuscdn.com/user_upload_by_module/session_file/310519663766182518/PLfEjLJhYoUpsYNp.png")</f>
        <v/>
      </c>
      <c r="B388" t="inlineStr">
        <is>
          <t>product_page061_item00</t>
        </is>
      </c>
      <c r="C388" t="inlineStr">
        <is>
          <t>Blocko</t>
        </is>
      </c>
      <c r="D388" t="inlineStr">
        <is>
          <t>N/A</t>
        </is>
      </c>
      <c r="E388" t="inlineStr"/>
      <c r="F388" t="inlineStr">
        <is>
          <t>متنوع</t>
        </is>
      </c>
      <c r="G388" t="inlineStr"/>
      <c r="H388" t="inlineStr">
        <is>
          <t>1,000.00</t>
        </is>
      </c>
      <c r="I388" t="inlineStr">
        <is>
          <t>أدوات صحية</t>
        </is>
      </c>
    </row>
    <row r="389">
      <c r="A389">
        <f>IMAGE("https://files.manuscdn.com/user_upload_by_module/session_file/310519663766182518/WwOFhFyZwBpKvWiZ.png")</f>
        <v/>
      </c>
      <c r="B389" t="inlineStr">
        <is>
          <t>product_page061_item01</t>
        </is>
      </c>
      <c r="C389" t="inlineStr">
        <is>
          <t>Blocko</t>
        </is>
      </c>
      <c r="D389" t="inlineStr">
        <is>
          <t>N/A</t>
        </is>
      </c>
      <c r="E389" t="inlineStr"/>
      <c r="F389" t="inlineStr">
        <is>
          <t>متنوع</t>
        </is>
      </c>
      <c r="G389" t="inlineStr"/>
      <c r="H389" t="inlineStr">
        <is>
          <t>1,000.00</t>
        </is>
      </c>
      <c r="I389" t="inlineStr">
        <is>
          <t>أدوات صحية</t>
        </is>
      </c>
    </row>
    <row r="390">
      <c r="A390">
        <f>IMAGE("https://files.manuscdn.com/user_upload_by_module/session_file/310519663766182518/EFbwtnGhntyGywzU.png")</f>
        <v/>
      </c>
      <c r="B390" t="inlineStr">
        <is>
          <t>product_page061_item02</t>
        </is>
      </c>
      <c r="C390" t="inlineStr">
        <is>
          <t>Blocko</t>
        </is>
      </c>
      <c r="D390" t="inlineStr">
        <is>
          <t>N/A</t>
        </is>
      </c>
      <c r="E390" t="inlineStr"/>
      <c r="F390" t="inlineStr">
        <is>
          <t>متنوع</t>
        </is>
      </c>
      <c r="G390" t="inlineStr"/>
      <c r="H390" t="inlineStr">
        <is>
          <t>1,000.00</t>
        </is>
      </c>
      <c r="I390" t="inlineStr">
        <is>
          <t>أدوات صحية</t>
        </is>
      </c>
    </row>
    <row r="391">
      <c r="A391">
        <f>IMAGE("https://files.manuscdn.com/user_upload_by_module/session_file/310519663766182518/GWqoCyzqDntOyOAt.png")</f>
        <v/>
      </c>
      <c r="B391" t="inlineStr">
        <is>
          <t>product_page061_item03</t>
        </is>
      </c>
      <c r="C391" t="inlineStr">
        <is>
          <t>Blocko</t>
        </is>
      </c>
      <c r="D391" t="inlineStr">
        <is>
          <t>N/A</t>
        </is>
      </c>
      <c r="E391" t="inlineStr"/>
      <c r="F391" t="inlineStr">
        <is>
          <t>متنوع</t>
        </is>
      </c>
      <c r="G391" t="inlineStr"/>
      <c r="H391" t="inlineStr">
        <is>
          <t>1,000.00</t>
        </is>
      </c>
      <c r="I391" t="inlineStr">
        <is>
          <t>أدوات صحية</t>
        </is>
      </c>
    </row>
    <row r="392">
      <c r="A392">
        <f>IMAGE("https://files.manuscdn.com/user_upload_by_module/session_file/310519663766182518/smaoOLfHXrdKBBQt.png")</f>
        <v/>
      </c>
      <c r="B392" t="inlineStr">
        <is>
          <t>product_page062_item00</t>
        </is>
      </c>
      <c r="C392" t="inlineStr">
        <is>
          <t>Blocko</t>
        </is>
      </c>
      <c r="D392" t="inlineStr">
        <is>
          <t>N/A</t>
        </is>
      </c>
      <c r="E392" t="inlineStr"/>
      <c r="F392" t="inlineStr">
        <is>
          <t>متنوع</t>
        </is>
      </c>
      <c r="G392" t="inlineStr"/>
      <c r="H392" t="inlineStr">
        <is>
          <t>1,000.00</t>
        </is>
      </c>
      <c r="I392" t="inlineStr">
        <is>
          <t>أدوات صحية</t>
        </is>
      </c>
    </row>
    <row r="393">
      <c r="A393">
        <f>IMAGE("https://files.manuscdn.com/user_upload_by_module/session_file/310519663766182518/WSHoiLTwjAuFenMN.png")</f>
        <v/>
      </c>
      <c r="B393" t="inlineStr">
        <is>
          <t>product_page062_item01</t>
        </is>
      </c>
      <c r="C393" t="inlineStr">
        <is>
          <t>Blocko</t>
        </is>
      </c>
      <c r="D393" t="inlineStr">
        <is>
          <t>N/A</t>
        </is>
      </c>
      <c r="E393" t="inlineStr"/>
      <c r="F393" t="inlineStr">
        <is>
          <t>متنوع</t>
        </is>
      </c>
      <c r="G393" t="inlineStr"/>
      <c r="H393" t="inlineStr">
        <is>
          <t>1,000.00</t>
        </is>
      </c>
      <c r="I393" t="inlineStr">
        <is>
          <t>أدوات صحية</t>
        </is>
      </c>
    </row>
    <row r="394">
      <c r="A394">
        <f>IMAGE("https://files.manuscdn.com/user_upload_by_module/session_file/310519663766182518/BecRlzIRxyYhaQuW.png")</f>
        <v/>
      </c>
      <c r="B394" t="inlineStr">
        <is>
          <t>product_page062_item02</t>
        </is>
      </c>
      <c r="C394" t="inlineStr">
        <is>
          <t>Blocko</t>
        </is>
      </c>
      <c r="D394" t="inlineStr">
        <is>
          <t>N/A</t>
        </is>
      </c>
      <c r="E394" t="inlineStr"/>
      <c r="F394" t="inlineStr">
        <is>
          <t>متنوع</t>
        </is>
      </c>
      <c r="G394" t="inlineStr"/>
      <c r="H394" t="inlineStr">
        <is>
          <t>1,000.00</t>
        </is>
      </c>
      <c r="I394" t="inlineStr">
        <is>
          <t>أدوات صحية</t>
        </is>
      </c>
    </row>
    <row r="395">
      <c r="A395">
        <f>IMAGE("https://files.manuscdn.com/user_upload_by_module/session_file/310519663766182518/qYqCKIhfnixXwPxZ.png")</f>
        <v/>
      </c>
      <c r="B395" t="inlineStr">
        <is>
          <t>product_page062_item03</t>
        </is>
      </c>
      <c r="C395" t="inlineStr">
        <is>
          <t>Blocko</t>
        </is>
      </c>
      <c r="D395" t="inlineStr">
        <is>
          <t>N/A</t>
        </is>
      </c>
      <c r="E395" t="inlineStr"/>
      <c r="F395" t="inlineStr">
        <is>
          <t>متنوع</t>
        </is>
      </c>
      <c r="G395" t="inlineStr"/>
      <c r="H395" t="inlineStr">
        <is>
          <t>1,000.00</t>
        </is>
      </c>
      <c r="I395" t="inlineStr">
        <is>
          <t>أدوات صحية</t>
        </is>
      </c>
    </row>
    <row r="396">
      <c r="A396">
        <f>IMAGE("https://files.manuscdn.com/user_upload_by_module/session_file/310519663766182518/jYeDPqznySZSrolH.png")</f>
        <v/>
      </c>
      <c r="B396" t="inlineStr">
        <is>
          <t>product_page062_item04</t>
        </is>
      </c>
      <c r="C396" t="inlineStr">
        <is>
          <t>Blocko</t>
        </is>
      </c>
      <c r="D396" t="inlineStr">
        <is>
          <t>N/A</t>
        </is>
      </c>
      <c r="E396" t="inlineStr"/>
      <c r="F396" t="inlineStr">
        <is>
          <t>متنوع</t>
        </is>
      </c>
      <c r="G396" t="inlineStr"/>
      <c r="H396" t="inlineStr">
        <is>
          <t>1,000.00</t>
        </is>
      </c>
      <c r="I396" t="inlineStr">
        <is>
          <t>أدوات صحية</t>
        </is>
      </c>
    </row>
    <row r="397">
      <c r="A397">
        <f>IMAGE("https://files.manuscdn.com/user_upload_by_module/session_file/310519663766182518/UGtdwFqJarlvoCWQ.png")</f>
        <v/>
      </c>
      <c r="B397" t="inlineStr">
        <is>
          <t>product_page062_item05</t>
        </is>
      </c>
      <c r="C397" t="inlineStr">
        <is>
          <t>Blocko</t>
        </is>
      </c>
      <c r="D397" t="inlineStr">
        <is>
          <t>N/A</t>
        </is>
      </c>
      <c r="E397" t="inlineStr"/>
      <c r="F397" t="inlineStr">
        <is>
          <t>متنوع</t>
        </is>
      </c>
      <c r="G397" t="inlineStr"/>
      <c r="H397" t="inlineStr">
        <is>
          <t>1,000.00</t>
        </is>
      </c>
      <c r="I397" t="inlineStr">
        <is>
          <t>أدوات صحية</t>
        </is>
      </c>
    </row>
    <row r="398">
      <c r="A398">
        <f>IMAGE("https://files.manuscdn.com/user_upload_by_module/session_file/310519663766182518/MQXJwbTnTouhoJwV.png")</f>
        <v/>
      </c>
      <c r="B398" t="inlineStr">
        <is>
          <t>product_page062_item06</t>
        </is>
      </c>
      <c r="C398" t="inlineStr">
        <is>
          <t>Blocko</t>
        </is>
      </c>
      <c r="D398" t="inlineStr">
        <is>
          <t>N/A</t>
        </is>
      </c>
      <c r="E398" t="inlineStr"/>
      <c r="F398" t="inlineStr">
        <is>
          <t>متنوع</t>
        </is>
      </c>
      <c r="G398" t="inlineStr"/>
      <c r="H398" t="inlineStr">
        <is>
          <t>1,000.00</t>
        </is>
      </c>
      <c r="I398" t="inlineStr">
        <is>
          <t>أدوات صحية</t>
        </is>
      </c>
    </row>
    <row r="399">
      <c r="A399">
        <f>IMAGE("https://files.manuscdn.com/user_upload_by_module/session_file/310519663766182518/GkfnrUlLUEuEQGmN.png")</f>
        <v/>
      </c>
      <c r="B399" t="inlineStr">
        <is>
          <t>product_page062_item07</t>
        </is>
      </c>
      <c r="C399" t="inlineStr">
        <is>
          <t>Blocko</t>
        </is>
      </c>
      <c r="D399" t="inlineStr">
        <is>
          <t>N/A</t>
        </is>
      </c>
      <c r="E399" t="inlineStr"/>
      <c r="F399" t="inlineStr">
        <is>
          <t>متنوع</t>
        </is>
      </c>
      <c r="G399" t="inlineStr"/>
      <c r="H399" t="inlineStr">
        <is>
          <t>1,000.00</t>
        </is>
      </c>
      <c r="I399" t="inlineStr">
        <is>
          <t>أدوات صحية</t>
        </is>
      </c>
    </row>
    <row r="400">
      <c r="A400">
        <f>IMAGE("https://files.manuscdn.com/user_upload_by_module/session_file/310519663766182518/nNfsETyCurfQDAEg.png")</f>
        <v/>
      </c>
      <c r="B400" t="inlineStr">
        <is>
          <t>product_page063_item00</t>
        </is>
      </c>
      <c r="C400" t="inlineStr">
        <is>
          <t>Blocko</t>
        </is>
      </c>
      <c r="D400" t="inlineStr">
        <is>
          <t>N/A</t>
        </is>
      </c>
      <c r="E400" t="inlineStr"/>
      <c r="F400" t="inlineStr">
        <is>
          <t>متنوع</t>
        </is>
      </c>
      <c r="G400" t="inlineStr"/>
      <c r="H400" t="inlineStr">
        <is>
          <t>1,000.00</t>
        </is>
      </c>
      <c r="I400" t="inlineStr">
        <is>
          <t>أدوات صحية</t>
        </is>
      </c>
    </row>
    <row r="401">
      <c r="A401">
        <f>IMAGE("https://files.manuscdn.com/user_upload_by_module/session_file/310519663766182518/EaRCCcTUsGOJOTec.png")</f>
        <v/>
      </c>
      <c r="B401" t="inlineStr">
        <is>
          <t>product_page063_item01</t>
        </is>
      </c>
      <c r="C401" t="inlineStr">
        <is>
          <t>Blocko</t>
        </is>
      </c>
      <c r="D401" t="inlineStr">
        <is>
          <t>N/A</t>
        </is>
      </c>
      <c r="E401" t="inlineStr"/>
      <c r="F401" t="inlineStr">
        <is>
          <t>متنوع</t>
        </is>
      </c>
      <c r="G401" t="inlineStr"/>
      <c r="H401" t="inlineStr">
        <is>
          <t>1,000.00</t>
        </is>
      </c>
      <c r="I401" t="inlineStr">
        <is>
          <t>أدوات صحية</t>
        </is>
      </c>
    </row>
    <row r="402">
      <c r="A402">
        <f>IMAGE("https://files.manuscdn.com/user_upload_by_module/session_file/310519663766182518/DlckpAhaINAtVABT.png")</f>
        <v/>
      </c>
      <c r="B402" t="inlineStr">
        <is>
          <t>product_page063_item02</t>
        </is>
      </c>
      <c r="C402" t="inlineStr">
        <is>
          <t>Blocko</t>
        </is>
      </c>
      <c r="D402" t="inlineStr">
        <is>
          <t>N/A</t>
        </is>
      </c>
      <c r="E402" t="inlineStr"/>
      <c r="F402" t="inlineStr">
        <is>
          <t>متنوع</t>
        </is>
      </c>
      <c r="G402" t="inlineStr"/>
      <c r="H402" t="inlineStr">
        <is>
          <t>1,000.00</t>
        </is>
      </c>
      <c r="I402" t="inlineStr">
        <is>
          <t>أدوات صحية</t>
        </is>
      </c>
    </row>
    <row r="403">
      <c r="A403">
        <f>IMAGE("https://files.manuscdn.com/user_upload_by_module/session_file/310519663766182518/GdVElNrMgDSExRZD.png")</f>
        <v/>
      </c>
      <c r="B403" t="inlineStr">
        <is>
          <t>product_page063_item03</t>
        </is>
      </c>
      <c r="C403" t="inlineStr">
        <is>
          <t>Blocko</t>
        </is>
      </c>
      <c r="D403" t="inlineStr">
        <is>
          <t>N/A</t>
        </is>
      </c>
      <c r="E403" t="inlineStr"/>
      <c r="F403" t="inlineStr">
        <is>
          <t>متنوع</t>
        </is>
      </c>
      <c r="G403" t="inlineStr"/>
      <c r="H403" t="inlineStr">
        <is>
          <t>1,000.00</t>
        </is>
      </c>
      <c r="I403" t="inlineStr">
        <is>
          <t>أدوات صحية</t>
        </is>
      </c>
    </row>
    <row r="404">
      <c r="A404">
        <f>IMAGE("https://files.manuscdn.com/user_upload_by_module/session_file/310519663766182518/fFQTyGivqWKZUKVl.png")</f>
        <v/>
      </c>
      <c r="B404" t="inlineStr">
        <is>
          <t>product_page063_item04</t>
        </is>
      </c>
      <c r="C404" t="inlineStr">
        <is>
          <t>Blocko</t>
        </is>
      </c>
      <c r="D404" t="inlineStr">
        <is>
          <t>N/A</t>
        </is>
      </c>
      <c r="E404" t="inlineStr"/>
      <c r="F404" t="inlineStr">
        <is>
          <t>متنوع</t>
        </is>
      </c>
      <c r="G404" t="inlineStr"/>
      <c r="H404" t="inlineStr">
        <is>
          <t>1,000.00</t>
        </is>
      </c>
      <c r="I404" t="inlineStr">
        <is>
          <t>أدوات صحية</t>
        </is>
      </c>
    </row>
    <row r="405">
      <c r="A405">
        <f>IMAGE("https://files.manuscdn.com/user_upload_by_module/session_file/310519663766182518/oHmiTEiFLokqLKeM.png")</f>
        <v/>
      </c>
      <c r="B405" t="inlineStr">
        <is>
          <t>product_page063_item05</t>
        </is>
      </c>
      <c r="C405" t="inlineStr">
        <is>
          <t>Blocko</t>
        </is>
      </c>
      <c r="D405" t="inlineStr">
        <is>
          <t>N/A</t>
        </is>
      </c>
      <c r="E405" t="inlineStr"/>
      <c r="F405" t="inlineStr">
        <is>
          <t>متنوع</t>
        </is>
      </c>
      <c r="G405" t="inlineStr"/>
      <c r="H405" t="inlineStr">
        <is>
          <t>1,000.00</t>
        </is>
      </c>
      <c r="I405" t="inlineStr">
        <is>
          <t>أدوات صحية</t>
        </is>
      </c>
    </row>
    <row r="406">
      <c r="A406">
        <f>IMAGE("https://files.manuscdn.com/user_upload_by_module/session_file/310519663766182518/IgjpucGSlCyihSvs.png")</f>
        <v/>
      </c>
      <c r="B406" t="inlineStr">
        <is>
          <t>product_page064_item00</t>
        </is>
      </c>
      <c r="C406" t="inlineStr">
        <is>
          <t>Blocko</t>
        </is>
      </c>
      <c r="D406" t="inlineStr">
        <is>
          <t>N/A</t>
        </is>
      </c>
      <c r="E406" t="inlineStr"/>
      <c r="F406" t="inlineStr">
        <is>
          <t>متنوع</t>
        </is>
      </c>
      <c r="G406" t="inlineStr"/>
      <c r="H406" t="inlineStr">
        <is>
          <t>1,000.00</t>
        </is>
      </c>
      <c r="I406" t="inlineStr">
        <is>
          <t>أدوات صحية</t>
        </is>
      </c>
    </row>
    <row r="407">
      <c r="A407">
        <f>IMAGE("https://files.manuscdn.com/user_upload_by_module/session_file/310519663766182518/qzRDZlSxsdIpAHhD.png")</f>
        <v/>
      </c>
      <c r="B407" t="inlineStr">
        <is>
          <t>product_page064_item01</t>
        </is>
      </c>
      <c r="C407" t="inlineStr">
        <is>
          <t>Blocko</t>
        </is>
      </c>
      <c r="D407" t="inlineStr">
        <is>
          <t>N/A</t>
        </is>
      </c>
      <c r="E407" t="inlineStr"/>
      <c r="F407" t="inlineStr">
        <is>
          <t>متنوع</t>
        </is>
      </c>
      <c r="G407" t="inlineStr"/>
      <c r="H407" t="inlineStr">
        <is>
          <t>1,000.00</t>
        </is>
      </c>
      <c r="I407" t="inlineStr">
        <is>
          <t>أدوات صحية</t>
        </is>
      </c>
    </row>
    <row r="408">
      <c r="A408">
        <f>IMAGE("https://files.manuscdn.com/user_upload_by_module/session_file/310519663766182518/AxKripruuTiKFIHf.png")</f>
        <v/>
      </c>
      <c r="B408" t="inlineStr">
        <is>
          <t>product_page064_item02</t>
        </is>
      </c>
      <c r="C408" t="inlineStr">
        <is>
          <t>Blocko</t>
        </is>
      </c>
      <c r="D408" t="inlineStr">
        <is>
          <t>N/A</t>
        </is>
      </c>
      <c r="E408" t="inlineStr"/>
      <c r="F408" t="inlineStr">
        <is>
          <t>متنوع</t>
        </is>
      </c>
      <c r="G408" t="inlineStr"/>
      <c r="H408" t="inlineStr">
        <is>
          <t>1,000.00</t>
        </is>
      </c>
      <c r="I408" t="inlineStr">
        <is>
          <t>أدوات صحية</t>
        </is>
      </c>
    </row>
    <row r="409">
      <c r="A409">
        <f>IMAGE("https://files.manuscdn.com/user_upload_by_module/session_file/310519663766182518/DUkdmeVrmYeEWDLy.png")</f>
        <v/>
      </c>
      <c r="B409" t="inlineStr">
        <is>
          <t>product_page064_item03</t>
        </is>
      </c>
      <c r="C409" t="inlineStr">
        <is>
          <t>Blocko</t>
        </is>
      </c>
      <c r="D409" t="inlineStr">
        <is>
          <t>N/A</t>
        </is>
      </c>
      <c r="E409" t="inlineStr"/>
      <c r="F409" t="inlineStr">
        <is>
          <t>متنوع</t>
        </is>
      </c>
      <c r="G409" t="inlineStr"/>
      <c r="H409" t="inlineStr">
        <is>
          <t>1,000.00</t>
        </is>
      </c>
      <c r="I409" t="inlineStr">
        <is>
          <t>أدوات صحية</t>
        </is>
      </c>
    </row>
    <row r="410">
      <c r="A410">
        <f>IMAGE("https://files.manuscdn.com/user_upload_by_module/session_file/310519663766182518/HtVqVXmCYHNBqgQb.png")</f>
        <v/>
      </c>
      <c r="B410" t="inlineStr">
        <is>
          <t>product_page064_item04</t>
        </is>
      </c>
      <c r="C410" t="inlineStr">
        <is>
          <t>Blocko</t>
        </is>
      </c>
      <c r="D410" t="inlineStr">
        <is>
          <t>N/A</t>
        </is>
      </c>
      <c r="E410" t="inlineStr"/>
      <c r="F410" t="inlineStr">
        <is>
          <t>متنوع</t>
        </is>
      </c>
      <c r="G410" t="inlineStr"/>
      <c r="H410" t="inlineStr">
        <is>
          <t>1,000.00</t>
        </is>
      </c>
      <c r="I410" t="inlineStr">
        <is>
          <t>أدوات صحية</t>
        </is>
      </c>
    </row>
    <row r="411">
      <c r="A411">
        <f>IMAGE("https://files.manuscdn.com/user_upload_by_module/session_file/310519663766182518/NMnWUINEGupTJCEd.png")</f>
        <v/>
      </c>
      <c r="B411" t="inlineStr">
        <is>
          <t>product_page064_item05</t>
        </is>
      </c>
      <c r="C411" t="inlineStr">
        <is>
          <t>Blocko</t>
        </is>
      </c>
      <c r="D411" t="inlineStr">
        <is>
          <t>N/A</t>
        </is>
      </c>
      <c r="E411" t="inlineStr"/>
      <c r="F411" t="inlineStr">
        <is>
          <t>متنوع</t>
        </is>
      </c>
      <c r="G411" t="inlineStr"/>
      <c r="H411" t="inlineStr">
        <is>
          <t>1,000.00</t>
        </is>
      </c>
      <c r="I411" t="inlineStr">
        <is>
          <t>أدوات صحية</t>
        </is>
      </c>
    </row>
    <row r="412">
      <c r="A412">
        <f>IMAGE("https://files.manuscdn.com/user_upload_by_module/session_file/310519663766182518/ezJkVQYwCLKdxlye.png")</f>
        <v/>
      </c>
      <c r="B412" t="inlineStr">
        <is>
          <t>product_page065_item00</t>
        </is>
      </c>
      <c r="C412" t="inlineStr">
        <is>
          <t>Blocko</t>
        </is>
      </c>
      <c r="D412" t="inlineStr">
        <is>
          <t>N/A</t>
        </is>
      </c>
      <c r="E412" t="inlineStr"/>
      <c r="F412" t="inlineStr">
        <is>
          <t>متنوع</t>
        </is>
      </c>
      <c r="G412" t="inlineStr"/>
      <c r="H412" t="inlineStr">
        <is>
          <t>1,000.00</t>
        </is>
      </c>
      <c r="I412" t="inlineStr">
        <is>
          <t>أدوات صحية</t>
        </is>
      </c>
    </row>
    <row r="413">
      <c r="A413">
        <f>IMAGE("https://files.manuscdn.com/user_upload_by_module/session_file/310519663766182518/dSjnPWviEAQLTrXB.png")</f>
        <v/>
      </c>
      <c r="B413" t="inlineStr">
        <is>
          <t>product_page065_item01</t>
        </is>
      </c>
      <c r="C413" t="inlineStr">
        <is>
          <t>Blocko</t>
        </is>
      </c>
      <c r="D413" t="inlineStr">
        <is>
          <t>N/A</t>
        </is>
      </c>
      <c r="E413" t="inlineStr"/>
      <c r="F413" t="inlineStr">
        <is>
          <t>متنوع</t>
        </is>
      </c>
      <c r="G413" t="inlineStr"/>
      <c r="H413" t="inlineStr">
        <is>
          <t>1,000.00</t>
        </is>
      </c>
      <c r="I413" t="inlineStr">
        <is>
          <t>أدوات صحية</t>
        </is>
      </c>
    </row>
    <row r="414">
      <c r="A414">
        <f>IMAGE("https://files.manuscdn.com/user_upload_by_module/session_file/310519663766182518/ppXRTFLZoMjCNfBj.png")</f>
        <v/>
      </c>
      <c r="B414" t="inlineStr">
        <is>
          <t>product_page065_item02</t>
        </is>
      </c>
      <c r="C414" t="inlineStr">
        <is>
          <t>Blocko</t>
        </is>
      </c>
      <c r="D414" t="inlineStr">
        <is>
          <t>N/A</t>
        </is>
      </c>
      <c r="E414" t="inlineStr"/>
      <c r="F414" t="inlineStr">
        <is>
          <t>متنوع</t>
        </is>
      </c>
      <c r="G414" t="inlineStr"/>
      <c r="H414" t="inlineStr">
        <is>
          <t>1,000.00</t>
        </is>
      </c>
      <c r="I414" t="inlineStr">
        <is>
          <t>أدوات صحية</t>
        </is>
      </c>
    </row>
    <row r="415">
      <c r="A415">
        <f>IMAGE("https://files.manuscdn.com/user_upload_by_module/session_file/310519663766182518/JOUyPlwHgDSATXFW.png")</f>
        <v/>
      </c>
      <c r="B415" t="inlineStr">
        <is>
          <t>product_page065_item03</t>
        </is>
      </c>
      <c r="C415" t="inlineStr">
        <is>
          <t>Blocko</t>
        </is>
      </c>
      <c r="D415" t="inlineStr">
        <is>
          <t>N/A</t>
        </is>
      </c>
      <c r="E415" t="inlineStr"/>
      <c r="F415" t="inlineStr">
        <is>
          <t>متنوع</t>
        </is>
      </c>
      <c r="G415" t="inlineStr"/>
      <c r="H415" t="inlineStr">
        <is>
          <t>1,000.00</t>
        </is>
      </c>
      <c r="I415" t="inlineStr">
        <is>
          <t>أدوات صحية</t>
        </is>
      </c>
    </row>
    <row r="416">
      <c r="A416">
        <f>IMAGE("https://files.manuscdn.com/user_upload_by_module/session_file/310519663766182518/ywRivlEvEDuHjtjv.png")</f>
        <v/>
      </c>
      <c r="B416" t="inlineStr">
        <is>
          <t>product_page065_item04</t>
        </is>
      </c>
      <c r="C416" t="inlineStr">
        <is>
          <t>Blocko</t>
        </is>
      </c>
      <c r="D416" t="inlineStr">
        <is>
          <t>N/A</t>
        </is>
      </c>
      <c r="E416" t="inlineStr"/>
      <c r="F416" t="inlineStr">
        <is>
          <t>متنوع</t>
        </is>
      </c>
      <c r="G416" t="inlineStr"/>
      <c r="H416" t="inlineStr">
        <is>
          <t>1,000.00</t>
        </is>
      </c>
      <c r="I416" t="inlineStr">
        <is>
          <t>أدوات صحية</t>
        </is>
      </c>
    </row>
    <row r="417">
      <c r="A417">
        <f>IMAGE("https://files.manuscdn.com/user_upload_by_module/session_file/310519663766182518/iSRfERclGGxwSlTR.png")</f>
        <v/>
      </c>
      <c r="B417" t="inlineStr">
        <is>
          <t>product_page065_item05</t>
        </is>
      </c>
      <c r="C417" t="inlineStr">
        <is>
          <t>Blocko</t>
        </is>
      </c>
      <c r="D417" t="inlineStr">
        <is>
          <t>N/A</t>
        </is>
      </c>
      <c r="E417" t="inlineStr"/>
      <c r="F417" t="inlineStr">
        <is>
          <t>متنوع</t>
        </is>
      </c>
      <c r="G417" t="inlineStr"/>
      <c r="H417" t="inlineStr">
        <is>
          <t>1,000.00</t>
        </is>
      </c>
      <c r="I417" t="inlineStr">
        <is>
          <t>أدوات صحية</t>
        </is>
      </c>
    </row>
    <row r="418">
      <c r="A418">
        <f>IMAGE("https://files.manuscdn.com/user_upload_by_module/session_file/310519663766182518/idLNjrVhdAydnAlJ.png")</f>
        <v/>
      </c>
      <c r="B418" t="inlineStr">
        <is>
          <t>product_page065_item06</t>
        </is>
      </c>
      <c r="C418" t="inlineStr">
        <is>
          <t>Blocko</t>
        </is>
      </c>
      <c r="D418" t="inlineStr">
        <is>
          <t>N/A</t>
        </is>
      </c>
      <c r="E418" t="inlineStr"/>
      <c r="F418" t="inlineStr">
        <is>
          <t>متنوع</t>
        </is>
      </c>
      <c r="G418" t="inlineStr"/>
      <c r="H418" t="inlineStr">
        <is>
          <t>1,000.00</t>
        </is>
      </c>
      <c r="I418" t="inlineStr">
        <is>
          <t>أدوات صحية</t>
        </is>
      </c>
    </row>
    <row r="419">
      <c r="A419">
        <f>IMAGE("https://files.manuscdn.com/user_upload_by_module/session_file/310519663766182518/akmnyeJukMzKNEof.png")</f>
        <v/>
      </c>
      <c r="B419" t="inlineStr">
        <is>
          <t>product_page065_item07</t>
        </is>
      </c>
      <c r="C419" t="inlineStr">
        <is>
          <t>Blocko</t>
        </is>
      </c>
      <c r="D419" t="inlineStr">
        <is>
          <t>N/A</t>
        </is>
      </c>
      <c r="E419" t="inlineStr"/>
      <c r="F419" t="inlineStr">
        <is>
          <t>متنوع</t>
        </is>
      </c>
      <c r="G419" t="inlineStr"/>
      <c r="H419" t="inlineStr">
        <is>
          <t>1,000.00</t>
        </is>
      </c>
      <c r="I419" t="inlineStr">
        <is>
          <t>أدوات صحية</t>
        </is>
      </c>
    </row>
    <row r="420">
      <c r="A420">
        <f>IMAGE("https://files.manuscdn.com/user_upload_by_module/session_file/310519663766182518/wtIEkLSwqrxvKOST.png")</f>
        <v/>
      </c>
      <c r="B420" t="inlineStr">
        <is>
          <t>product_page065_item08</t>
        </is>
      </c>
      <c r="C420" t="inlineStr">
        <is>
          <t>Blocko</t>
        </is>
      </c>
      <c r="D420" t="inlineStr">
        <is>
          <t>N/A</t>
        </is>
      </c>
      <c r="E420" t="inlineStr"/>
      <c r="F420" t="inlineStr">
        <is>
          <t>متنوع</t>
        </is>
      </c>
      <c r="G420" t="inlineStr"/>
      <c r="H420" t="inlineStr">
        <is>
          <t>1,000.00</t>
        </is>
      </c>
      <c r="I420" t="inlineStr">
        <is>
          <t>أدوات صحية</t>
        </is>
      </c>
    </row>
    <row r="421">
      <c r="A421">
        <f>IMAGE("https://files.manuscdn.com/user_upload_by_module/session_file/310519663766182518/FPNJdJhTcyONXndR.png")</f>
        <v/>
      </c>
      <c r="B421" t="inlineStr">
        <is>
          <t>product_page065_item09</t>
        </is>
      </c>
      <c r="C421" t="inlineStr">
        <is>
          <t>Blocko</t>
        </is>
      </c>
      <c r="D421" t="inlineStr">
        <is>
          <t>N/A</t>
        </is>
      </c>
      <c r="E421" t="inlineStr"/>
      <c r="F421" t="inlineStr">
        <is>
          <t>متنوع</t>
        </is>
      </c>
      <c r="G421" t="inlineStr"/>
      <c r="H421" t="inlineStr">
        <is>
          <t>1,000.00</t>
        </is>
      </c>
      <c r="I421" t="inlineStr">
        <is>
          <t>أدوات صحية</t>
        </is>
      </c>
    </row>
    <row r="422">
      <c r="A422">
        <f>IMAGE("https://files.manuscdn.com/user_upload_by_module/session_file/310519663766182518/WDYGTDujTkEfnynB.png")</f>
        <v/>
      </c>
      <c r="B422" t="inlineStr">
        <is>
          <t>product_page065_item10</t>
        </is>
      </c>
      <c r="C422" t="inlineStr">
        <is>
          <t>Blocko</t>
        </is>
      </c>
      <c r="D422" t="inlineStr">
        <is>
          <t>N/A</t>
        </is>
      </c>
      <c r="E422" t="inlineStr"/>
      <c r="F422" t="inlineStr">
        <is>
          <t>متنوع</t>
        </is>
      </c>
      <c r="G422" t="inlineStr"/>
      <c r="H422" t="inlineStr">
        <is>
          <t>1,000.00</t>
        </is>
      </c>
      <c r="I422" t="inlineStr">
        <is>
          <t>أدوات صحية</t>
        </is>
      </c>
    </row>
    <row r="423">
      <c r="A423">
        <f>IMAGE("https://files.manuscdn.com/user_upload_by_module/session_file/310519663766182518/mwrYCLiqFjfSpIbp.png")</f>
        <v/>
      </c>
      <c r="B423" t="inlineStr">
        <is>
          <t>product_page065_item11</t>
        </is>
      </c>
      <c r="C423" t="inlineStr">
        <is>
          <t>Blocko</t>
        </is>
      </c>
      <c r="D423" t="inlineStr">
        <is>
          <t>N/A</t>
        </is>
      </c>
      <c r="E423" t="inlineStr"/>
      <c r="F423" t="inlineStr">
        <is>
          <t>متنوع</t>
        </is>
      </c>
      <c r="G423" t="inlineStr"/>
      <c r="H423" t="inlineStr">
        <is>
          <t>1,000.00</t>
        </is>
      </c>
      <c r="I423" t="inlineStr">
        <is>
          <t>أدوات صحية</t>
        </is>
      </c>
    </row>
    <row r="424">
      <c r="A424">
        <f>IMAGE("https://files.manuscdn.com/user_upload_by_module/session_file/310519663766182518/YFVTxvRWMuGEyOOP.png")</f>
        <v/>
      </c>
      <c r="B424" t="inlineStr">
        <is>
          <t>product_page066_item00</t>
        </is>
      </c>
      <c r="C424" t="inlineStr">
        <is>
          <t>Blocko</t>
        </is>
      </c>
      <c r="D424" t="inlineStr">
        <is>
          <t>N/A</t>
        </is>
      </c>
      <c r="E424" t="inlineStr"/>
      <c r="F424" t="inlineStr">
        <is>
          <t>متنوع</t>
        </is>
      </c>
      <c r="G424" t="inlineStr"/>
      <c r="H424" t="inlineStr">
        <is>
          <t>1,000.00</t>
        </is>
      </c>
      <c r="I424" t="inlineStr">
        <is>
          <t>أدوات صحية</t>
        </is>
      </c>
    </row>
    <row r="425">
      <c r="A425">
        <f>IMAGE("https://files.manuscdn.com/user_upload_by_module/session_file/310519663766182518/cioiEHozanyjRgbq.png")</f>
        <v/>
      </c>
      <c r="B425" t="inlineStr">
        <is>
          <t>product_page066_item01</t>
        </is>
      </c>
      <c r="C425" t="inlineStr">
        <is>
          <t>Blocko</t>
        </is>
      </c>
      <c r="D425" t="inlineStr">
        <is>
          <t>N/A</t>
        </is>
      </c>
      <c r="E425" t="inlineStr"/>
      <c r="F425" t="inlineStr">
        <is>
          <t>متنوع</t>
        </is>
      </c>
      <c r="G425" t="inlineStr"/>
      <c r="H425" t="inlineStr">
        <is>
          <t>1,000.00</t>
        </is>
      </c>
      <c r="I425" t="inlineStr">
        <is>
          <t>أدوات صحية</t>
        </is>
      </c>
    </row>
    <row r="426">
      <c r="A426">
        <f>IMAGE("https://files.manuscdn.com/user_upload_by_module/session_file/310519663766182518/hLevfQRBsQlfiRyU.png")</f>
        <v/>
      </c>
      <c r="B426" t="inlineStr">
        <is>
          <t>product_page066_item02</t>
        </is>
      </c>
      <c r="C426" t="inlineStr">
        <is>
          <t>Blocko</t>
        </is>
      </c>
      <c r="D426" t="inlineStr">
        <is>
          <t>N/A</t>
        </is>
      </c>
      <c r="E426" t="inlineStr"/>
      <c r="F426" t="inlineStr">
        <is>
          <t>متنوع</t>
        </is>
      </c>
      <c r="G426" t="inlineStr"/>
      <c r="H426" t="inlineStr">
        <is>
          <t>1,000.00</t>
        </is>
      </c>
      <c r="I426" t="inlineStr">
        <is>
          <t>أدوات صحية</t>
        </is>
      </c>
    </row>
    <row r="427">
      <c r="A427">
        <f>IMAGE("https://files.manuscdn.com/user_upload_by_module/session_file/310519663766182518/eKssOSoDVpcLLqXf.png")</f>
        <v/>
      </c>
      <c r="B427" t="inlineStr">
        <is>
          <t>product_page066_item03</t>
        </is>
      </c>
      <c r="C427" t="inlineStr">
        <is>
          <t>Blocko</t>
        </is>
      </c>
      <c r="D427" t="inlineStr">
        <is>
          <t>N/A</t>
        </is>
      </c>
      <c r="E427" t="inlineStr"/>
      <c r="F427" t="inlineStr">
        <is>
          <t>متنوع</t>
        </is>
      </c>
      <c r="G427" t="inlineStr"/>
      <c r="H427" t="inlineStr">
        <is>
          <t>1,000.00</t>
        </is>
      </c>
      <c r="I427" t="inlineStr">
        <is>
          <t>أدوات صحية</t>
        </is>
      </c>
    </row>
    <row r="428">
      <c r="A428">
        <f>IMAGE("https://files.manuscdn.com/user_upload_by_module/session_file/310519663766182518/TPgzYxmKxRQfZipS.png")</f>
        <v/>
      </c>
      <c r="B428" t="inlineStr">
        <is>
          <t>product_page066_item04</t>
        </is>
      </c>
      <c r="C428" t="inlineStr">
        <is>
          <t>Blocko</t>
        </is>
      </c>
      <c r="D428" t="inlineStr">
        <is>
          <t>N/A</t>
        </is>
      </c>
      <c r="E428" t="inlineStr"/>
      <c r="F428" t="inlineStr">
        <is>
          <t>متنوع</t>
        </is>
      </c>
      <c r="G428" t="inlineStr"/>
      <c r="H428" t="inlineStr">
        <is>
          <t>1,000.00</t>
        </is>
      </c>
      <c r="I428" t="inlineStr">
        <is>
          <t>أدوات صحية</t>
        </is>
      </c>
    </row>
    <row r="429">
      <c r="A429">
        <f>IMAGE("https://files.manuscdn.com/user_upload_by_module/session_file/310519663766182518/TMhvswgGiGwDHaSm.png")</f>
        <v/>
      </c>
      <c r="B429" t="inlineStr">
        <is>
          <t>product_page066_item05</t>
        </is>
      </c>
      <c r="C429" t="inlineStr">
        <is>
          <t>Blocko</t>
        </is>
      </c>
      <c r="D429" t="inlineStr">
        <is>
          <t>N/A</t>
        </is>
      </c>
      <c r="E429" t="inlineStr"/>
      <c r="F429" t="inlineStr">
        <is>
          <t>متنوع</t>
        </is>
      </c>
      <c r="G429" t="inlineStr"/>
      <c r="H429" t="inlineStr">
        <is>
          <t>1,000.00</t>
        </is>
      </c>
      <c r="I429" t="inlineStr">
        <is>
          <t>أدوات صحية</t>
        </is>
      </c>
    </row>
    <row r="430">
      <c r="A430">
        <f>IMAGE("https://files.manuscdn.com/user_upload_by_module/session_file/310519663766182518/jjpwmQMeRryxSqwq.png")</f>
        <v/>
      </c>
      <c r="B430" t="inlineStr">
        <is>
          <t>product_page066_item06</t>
        </is>
      </c>
      <c r="C430" t="inlineStr">
        <is>
          <t>Blocko</t>
        </is>
      </c>
      <c r="D430" t="inlineStr">
        <is>
          <t>N/A</t>
        </is>
      </c>
      <c r="E430" t="inlineStr"/>
      <c r="F430" t="inlineStr">
        <is>
          <t>متنوع</t>
        </is>
      </c>
      <c r="G430" t="inlineStr"/>
      <c r="H430" t="inlineStr">
        <is>
          <t>1,000.00</t>
        </is>
      </c>
      <c r="I430" t="inlineStr">
        <is>
          <t>أدوات صحية</t>
        </is>
      </c>
    </row>
    <row r="431">
      <c r="A431">
        <f>IMAGE("https://files.manuscdn.com/user_upload_by_module/session_file/310519663766182518/dAmKAzyHQgfxRuXH.png")</f>
        <v/>
      </c>
      <c r="B431" t="inlineStr">
        <is>
          <t>product_page066_item07</t>
        </is>
      </c>
      <c r="C431" t="inlineStr">
        <is>
          <t>Blocko</t>
        </is>
      </c>
      <c r="D431" t="inlineStr">
        <is>
          <t>N/A</t>
        </is>
      </c>
      <c r="E431" t="inlineStr"/>
      <c r="F431" t="inlineStr">
        <is>
          <t>متنوع</t>
        </is>
      </c>
      <c r="G431" t="inlineStr"/>
      <c r="H431" t="inlineStr">
        <is>
          <t>1,000.00</t>
        </is>
      </c>
      <c r="I431" t="inlineStr">
        <is>
          <t>أدوات صحية</t>
        </is>
      </c>
    </row>
    <row r="432">
      <c r="A432">
        <f>IMAGE("https://files.manuscdn.com/user_upload_by_module/session_file/310519663766182518/YWBDGiFUdOeiJntl.png")</f>
        <v/>
      </c>
      <c r="B432" t="inlineStr">
        <is>
          <t>product_page066_item08</t>
        </is>
      </c>
      <c r="C432" t="inlineStr">
        <is>
          <t>Blocko</t>
        </is>
      </c>
      <c r="D432" t="inlineStr">
        <is>
          <t>N/A</t>
        </is>
      </c>
      <c r="E432" t="inlineStr"/>
      <c r="F432" t="inlineStr">
        <is>
          <t>متنوع</t>
        </is>
      </c>
      <c r="G432" t="inlineStr"/>
      <c r="H432" t="inlineStr">
        <is>
          <t>1,000.00</t>
        </is>
      </c>
      <c r="I432" t="inlineStr">
        <is>
          <t>أدوات صحية</t>
        </is>
      </c>
    </row>
    <row r="433">
      <c r="A433">
        <f>IMAGE("https://files.manuscdn.com/user_upload_by_module/session_file/310519663766182518/qOGBxTZQEvQbhJIq.png")</f>
        <v/>
      </c>
      <c r="B433" t="inlineStr">
        <is>
          <t>product_page066_item09</t>
        </is>
      </c>
      <c r="C433" t="inlineStr">
        <is>
          <t>Blocko</t>
        </is>
      </c>
      <c r="D433" t="inlineStr">
        <is>
          <t>N/A</t>
        </is>
      </c>
      <c r="E433" t="inlineStr"/>
      <c r="F433" t="inlineStr">
        <is>
          <t>متنوع</t>
        </is>
      </c>
      <c r="G433" t="inlineStr"/>
      <c r="H433" t="inlineStr">
        <is>
          <t>1,000.00</t>
        </is>
      </c>
      <c r="I433" t="inlineStr">
        <is>
          <t>أدوات صحية</t>
        </is>
      </c>
    </row>
    <row r="434">
      <c r="A434">
        <f>IMAGE("https://files.manuscdn.com/user_upload_by_module/session_file/310519663766182518/zpMNzwxOJTVytqgK.png")</f>
        <v/>
      </c>
      <c r="B434" t="inlineStr">
        <is>
          <t>product_page066_item10</t>
        </is>
      </c>
      <c r="C434" t="inlineStr">
        <is>
          <t>Blocko</t>
        </is>
      </c>
      <c r="D434" t="inlineStr">
        <is>
          <t>N/A</t>
        </is>
      </c>
      <c r="E434" t="inlineStr"/>
      <c r="F434" t="inlineStr">
        <is>
          <t>متنوع</t>
        </is>
      </c>
      <c r="G434" t="inlineStr"/>
      <c r="H434" t="inlineStr">
        <is>
          <t>1,000.00</t>
        </is>
      </c>
      <c r="I434" t="inlineStr">
        <is>
          <t>أدوات صحية</t>
        </is>
      </c>
    </row>
    <row r="435">
      <c r="A435">
        <f>IMAGE("https://files.manuscdn.com/user_upload_by_module/session_file/310519663766182518/OsfiLPiQcwuBapjd.png")</f>
        <v/>
      </c>
      <c r="B435" t="inlineStr">
        <is>
          <t>product_page066_item11</t>
        </is>
      </c>
      <c r="C435" t="inlineStr">
        <is>
          <t>Blocko</t>
        </is>
      </c>
      <c r="D435" t="inlineStr">
        <is>
          <t>N/A</t>
        </is>
      </c>
      <c r="E435" t="inlineStr"/>
      <c r="F435" t="inlineStr">
        <is>
          <t>متنوع</t>
        </is>
      </c>
      <c r="G435" t="inlineStr"/>
      <c r="H435" t="inlineStr">
        <is>
          <t>1,000.00</t>
        </is>
      </c>
      <c r="I435" t="inlineStr">
        <is>
          <t>أدوات صحية</t>
        </is>
      </c>
    </row>
    <row r="436">
      <c r="A436">
        <f>IMAGE("https://files.manuscdn.com/user_upload_by_module/session_file/310519663766182518/JxAoWbPpJrRoghcL.png")</f>
        <v/>
      </c>
      <c r="B436" t="inlineStr">
        <is>
          <t>product_page067_item00</t>
        </is>
      </c>
      <c r="C436" t="inlineStr">
        <is>
          <t>Blocko</t>
        </is>
      </c>
      <c r="D436" t="inlineStr">
        <is>
          <t>N/A</t>
        </is>
      </c>
      <c r="E436" t="inlineStr"/>
      <c r="F436" t="inlineStr">
        <is>
          <t>متنوع</t>
        </is>
      </c>
      <c r="G436" t="inlineStr"/>
      <c r="H436" t="inlineStr">
        <is>
          <t>1,000.00</t>
        </is>
      </c>
      <c r="I436" t="inlineStr">
        <is>
          <t>أدوات صحية</t>
        </is>
      </c>
    </row>
    <row r="437">
      <c r="A437">
        <f>IMAGE("https://files.manuscdn.com/user_upload_by_module/session_file/310519663766182518/qlIARAVMqElKUSiz.png")</f>
        <v/>
      </c>
      <c r="B437" t="inlineStr">
        <is>
          <t>product_page067_item01</t>
        </is>
      </c>
      <c r="C437" t="inlineStr">
        <is>
          <t>Blocko</t>
        </is>
      </c>
      <c r="D437" t="inlineStr">
        <is>
          <t>N/A</t>
        </is>
      </c>
      <c r="E437" t="inlineStr"/>
      <c r="F437" t="inlineStr">
        <is>
          <t>متنوع</t>
        </is>
      </c>
      <c r="G437" t="inlineStr"/>
      <c r="H437" t="inlineStr">
        <is>
          <t>1,000.00</t>
        </is>
      </c>
      <c r="I437" t="inlineStr">
        <is>
          <t>أدوات صحية</t>
        </is>
      </c>
    </row>
    <row r="438">
      <c r="A438">
        <f>IMAGE("https://files.manuscdn.com/user_upload_by_module/session_file/310519663766182518/ZGcvZdjZiivbmtLi.png")</f>
        <v/>
      </c>
      <c r="B438" t="inlineStr">
        <is>
          <t>product_page067_item02</t>
        </is>
      </c>
      <c r="C438" t="inlineStr">
        <is>
          <t>Blocko</t>
        </is>
      </c>
      <c r="D438" t="inlineStr">
        <is>
          <t>N/A</t>
        </is>
      </c>
      <c r="E438" t="inlineStr"/>
      <c r="F438" t="inlineStr">
        <is>
          <t>متنوع</t>
        </is>
      </c>
      <c r="G438" t="inlineStr"/>
      <c r="H438" t="inlineStr">
        <is>
          <t>1,000.00</t>
        </is>
      </c>
      <c r="I438" t="inlineStr">
        <is>
          <t>أدوات صحية</t>
        </is>
      </c>
    </row>
    <row r="439">
      <c r="A439">
        <f>IMAGE("https://files.manuscdn.com/user_upload_by_module/session_file/310519663766182518/SEPIRrHRRxuYZYzG.png")</f>
        <v/>
      </c>
      <c r="B439" t="inlineStr">
        <is>
          <t>product_page067_item03</t>
        </is>
      </c>
      <c r="C439" t="inlineStr">
        <is>
          <t>Blocko</t>
        </is>
      </c>
      <c r="D439" t="inlineStr">
        <is>
          <t>N/A</t>
        </is>
      </c>
      <c r="E439" t="inlineStr"/>
      <c r="F439" t="inlineStr">
        <is>
          <t>متنوع</t>
        </is>
      </c>
      <c r="G439" t="inlineStr"/>
      <c r="H439" t="inlineStr">
        <is>
          <t>1,000.00</t>
        </is>
      </c>
      <c r="I439" t="inlineStr">
        <is>
          <t>أدوات صحية</t>
        </is>
      </c>
    </row>
    <row r="440">
      <c r="A440">
        <f>IMAGE("https://files.manuscdn.com/user_upload_by_module/session_file/310519663766182518/YEdeUANpmjYjHQIP.png")</f>
        <v/>
      </c>
      <c r="B440" t="inlineStr">
        <is>
          <t>product_page067_item04</t>
        </is>
      </c>
      <c r="C440" t="inlineStr">
        <is>
          <t>Blocko</t>
        </is>
      </c>
      <c r="D440" t="inlineStr">
        <is>
          <t>N/A</t>
        </is>
      </c>
      <c r="E440" t="inlineStr"/>
      <c r="F440" t="inlineStr">
        <is>
          <t>متنوع</t>
        </is>
      </c>
      <c r="G440" t="inlineStr"/>
      <c r="H440" t="inlineStr">
        <is>
          <t>1,000.00</t>
        </is>
      </c>
      <c r="I440" t="inlineStr">
        <is>
          <t>أدوات صحية</t>
        </is>
      </c>
    </row>
    <row r="441">
      <c r="A441">
        <f>IMAGE("https://files.manuscdn.com/user_upload_by_module/session_file/310519663766182518/OvIIkzflpBkuOaOT.png")</f>
        <v/>
      </c>
      <c r="B441" t="inlineStr">
        <is>
          <t>product_page067_item05</t>
        </is>
      </c>
      <c r="C441" t="inlineStr">
        <is>
          <t>Blocko</t>
        </is>
      </c>
      <c r="D441" t="inlineStr">
        <is>
          <t>N/A</t>
        </is>
      </c>
      <c r="E441" t="inlineStr"/>
      <c r="F441" t="inlineStr">
        <is>
          <t>متنوع</t>
        </is>
      </c>
      <c r="G441" t="inlineStr"/>
      <c r="H441" t="inlineStr">
        <is>
          <t>1,000.00</t>
        </is>
      </c>
      <c r="I441" t="inlineStr">
        <is>
          <t>أدوات صحية</t>
        </is>
      </c>
    </row>
    <row r="442">
      <c r="A442">
        <f>IMAGE("https://files.manuscdn.com/user_upload_by_module/session_file/310519663766182518/XNbDlkLfEhyTmxWI.png")</f>
        <v/>
      </c>
      <c r="B442" t="inlineStr">
        <is>
          <t>product_page067_item06</t>
        </is>
      </c>
      <c r="C442" t="inlineStr">
        <is>
          <t>Blocko</t>
        </is>
      </c>
      <c r="D442" t="inlineStr">
        <is>
          <t>N/A</t>
        </is>
      </c>
      <c r="E442" t="inlineStr"/>
      <c r="F442" t="inlineStr">
        <is>
          <t>متنوع</t>
        </is>
      </c>
      <c r="G442" t="inlineStr"/>
      <c r="H442" t="inlineStr">
        <is>
          <t>1,000.00</t>
        </is>
      </c>
      <c r="I442" t="inlineStr">
        <is>
          <t>أدوات صحية</t>
        </is>
      </c>
    </row>
    <row r="443">
      <c r="A443">
        <f>IMAGE("https://files.manuscdn.com/user_upload_by_module/session_file/310519663766182518/WtxhOqJbrjbMRfrY.png")</f>
        <v/>
      </c>
      <c r="B443" t="inlineStr">
        <is>
          <t>product_page067_item07</t>
        </is>
      </c>
      <c r="C443" t="inlineStr">
        <is>
          <t>Blocko</t>
        </is>
      </c>
      <c r="D443" t="inlineStr">
        <is>
          <t>N/A</t>
        </is>
      </c>
      <c r="E443" t="inlineStr"/>
      <c r="F443" t="inlineStr">
        <is>
          <t>متنوع</t>
        </is>
      </c>
      <c r="G443" t="inlineStr"/>
      <c r="H443" t="inlineStr">
        <is>
          <t>1,000.00</t>
        </is>
      </c>
      <c r="I443" t="inlineStr">
        <is>
          <t>أدوات صحية</t>
        </is>
      </c>
    </row>
    <row r="444">
      <c r="A444">
        <f>IMAGE("https://files.manuscdn.com/user_upload_by_module/session_file/310519663766182518/krJMZMirSnMLiJOv.png")</f>
        <v/>
      </c>
      <c r="B444" t="inlineStr">
        <is>
          <t>product_page068_item00</t>
        </is>
      </c>
      <c r="C444" t="inlineStr">
        <is>
          <t>Blocko</t>
        </is>
      </c>
      <c r="D444" t="inlineStr">
        <is>
          <t>N/A</t>
        </is>
      </c>
      <c r="E444" t="inlineStr"/>
      <c r="F444" t="inlineStr">
        <is>
          <t>متنوع</t>
        </is>
      </c>
      <c r="G444" t="inlineStr"/>
      <c r="H444" t="inlineStr">
        <is>
          <t>1,000.00</t>
        </is>
      </c>
      <c r="I444" t="inlineStr">
        <is>
          <t>أدوات صحية</t>
        </is>
      </c>
    </row>
    <row r="445">
      <c r="A445">
        <f>IMAGE("https://files.manuscdn.com/user_upload_by_module/session_file/310519663766182518/MJSiArcyvLuXOsSQ.png")</f>
        <v/>
      </c>
      <c r="B445" t="inlineStr">
        <is>
          <t>product_page068_item01</t>
        </is>
      </c>
      <c r="C445" t="inlineStr">
        <is>
          <t>Blocko</t>
        </is>
      </c>
      <c r="D445" t="inlineStr">
        <is>
          <t>N/A</t>
        </is>
      </c>
      <c r="E445" t="inlineStr"/>
      <c r="F445" t="inlineStr">
        <is>
          <t>متنوع</t>
        </is>
      </c>
      <c r="G445" t="inlineStr"/>
      <c r="H445" t="inlineStr">
        <is>
          <t>1,000.00</t>
        </is>
      </c>
      <c r="I445" t="inlineStr">
        <is>
          <t>أدوات صحية</t>
        </is>
      </c>
    </row>
    <row r="446">
      <c r="A446">
        <f>IMAGE("https://files.manuscdn.com/user_upload_by_module/session_file/310519663766182518/UEpNFNeBynuCokJp.png")</f>
        <v/>
      </c>
      <c r="B446" t="inlineStr">
        <is>
          <t>product_page068_item02</t>
        </is>
      </c>
      <c r="C446" t="inlineStr">
        <is>
          <t>Blocko</t>
        </is>
      </c>
      <c r="D446" t="inlineStr">
        <is>
          <t>N/A</t>
        </is>
      </c>
      <c r="E446" t="inlineStr"/>
      <c r="F446" t="inlineStr">
        <is>
          <t>متنوع</t>
        </is>
      </c>
      <c r="G446" t="inlineStr"/>
      <c r="H446" t="inlineStr">
        <is>
          <t>1,000.00</t>
        </is>
      </c>
      <c r="I446" t="inlineStr">
        <is>
          <t>أدوات صحية</t>
        </is>
      </c>
    </row>
    <row r="447">
      <c r="A447">
        <f>IMAGE("https://files.manuscdn.com/user_upload_by_module/session_file/310519663766182518/xQNpdEKwbPhwPCtM.png")</f>
        <v/>
      </c>
      <c r="B447" t="inlineStr">
        <is>
          <t>product_page068_item03</t>
        </is>
      </c>
      <c r="C447" t="inlineStr">
        <is>
          <t>Blocko</t>
        </is>
      </c>
      <c r="D447" t="inlineStr">
        <is>
          <t>N/A</t>
        </is>
      </c>
      <c r="E447" t="inlineStr"/>
      <c r="F447" t="inlineStr">
        <is>
          <t>متنوع</t>
        </is>
      </c>
      <c r="G447" t="inlineStr"/>
      <c r="H447" t="inlineStr">
        <is>
          <t>1,000.00</t>
        </is>
      </c>
      <c r="I447" t="inlineStr">
        <is>
          <t>أدوات صحية</t>
        </is>
      </c>
    </row>
    <row r="448">
      <c r="A448">
        <f>IMAGE("https://files.manuscdn.com/user_upload_by_module/session_file/310519663766182518/YcktJWqwrIautQWd.png")</f>
        <v/>
      </c>
      <c r="B448" t="inlineStr">
        <is>
          <t>product_page069_item00</t>
        </is>
      </c>
      <c r="C448" t="inlineStr">
        <is>
          <t>Blocko</t>
        </is>
      </c>
      <c r="D448" t="inlineStr">
        <is>
          <t>N/A</t>
        </is>
      </c>
      <c r="E448" t="inlineStr"/>
      <c r="F448" t="inlineStr">
        <is>
          <t>متنوع</t>
        </is>
      </c>
      <c r="G448" t="inlineStr"/>
      <c r="H448" t="inlineStr">
        <is>
          <t>1,000.00</t>
        </is>
      </c>
      <c r="I448" t="inlineStr">
        <is>
          <t>أدوات صحية</t>
        </is>
      </c>
    </row>
    <row r="449">
      <c r="A449">
        <f>IMAGE("https://files.manuscdn.com/user_upload_by_module/session_file/310519663766182518/APWqwPTUGFhLFLPJ.png")</f>
        <v/>
      </c>
      <c r="B449" t="inlineStr">
        <is>
          <t>product_page069_item01</t>
        </is>
      </c>
      <c r="C449" t="inlineStr">
        <is>
          <t>Blocko</t>
        </is>
      </c>
      <c r="D449" t="inlineStr">
        <is>
          <t>N/A</t>
        </is>
      </c>
      <c r="E449" t="inlineStr"/>
      <c r="F449" t="inlineStr">
        <is>
          <t>متنوع</t>
        </is>
      </c>
      <c r="G449" t="inlineStr"/>
      <c r="H449" t="inlineStr">
        <is>
          <t>1,000.00</t>
        </is>
      </c>
      <c r="I449" t="inlineStr">
        <is>
          <t>أدوات صحية</t>
        </is>
      </c>
    </row>
    <row r="450">
      <c r="A450">
        <f>IMAGE("https://files.manuscdn.com/user_upload_by_module/session_file/310519663766182518/GLSXgCGWHXSaJzVp.png")</f>
        <v/>
      </c>
      <c r="B450" t="inlineStr">
        <is>
          <t>product_page069_item02</t>
        </is>
      </c>
      <c r="C450" t="inlineStr">
        <is>
          <t>Blocko</t>
        </is>
      </c>
      <c r="D450" t="inlineStr">
        <is>
          <t>N/A</t>
        </is>
      </c>
      <c r="E450" t="inlineStr"/>
      <c r="F450" t="inlineStr">
        <is>
          <t>متنوع</t>
        </is>
      </c>
      <c r="G450" t="inlineStr"/>
      <c r="H450" t="inlineStr">
        <is>
          <t>1,000.00</t>
        </is>
      </c>
      <c r="I450" t="inlineStr">
        <is>
          <t>أدوات صحية</t>
        </is>
      </c>
    </row>
    <row r="451">
      <c r="A451">
        <f>IMAGE("https://files.manuscdn.com/user_upload_by_module/session_file/310519663766182518/AiKfXLchqbzAFqHU.png")</f>
        <v/>
      </c>
      <c r="B451" t="inlineStr">
        <is>
          <t>product_page069_item03</t>
        </is>
      </c>
      <c r="C451" t="inlineStr">
        <is>
          <t>Blocko</t>
        </is>
      </c>
      <c r="D451" t="inlineStr">
        <is>
          <t>N/A</t>
        </is>
      </c>
      <c r="E451" t="inlineStr"/>
      <c r="F451" t="inlineStr">
        <is>
          <t>متنوع</t>
        </is>
      </c>
      <c r="G451" t="inlineStr"/>
      <c r="H451" t="inlineStr">
        <is>
          <t>1,000.00</t>
        </is>
      </c>
      <c r="I451" t="inlineStr">
        <is>
          <t>أدوات صحية</t>
        </is>
      </c>
    </row>
    <row r="452">
      <c r="A452">
        <f>IMAGE("https://files.manuscdn.com/user_upload_by_module/session_file/310519663766182518/qcYQKpDoIAclAxgB.png")</f>
        <v/>
      </c>
      <c r="B452" t="inlineStr">
        <is>
          <t>product_page070_item00</t>
        </is>
      </c>
      <c r="C452" t="inlineStr">
        <is>
          <t>Blocko</t>
        </is>
      </c>
      <c r="D452" t="inlineStr">
        <is>
          <t>N/A</t>
        </is>
      </c>
      <c r="E452" t="inlineStr"/>
      <c r="F452" t="inlineStr">
        <is>
          <t>متنوع</t>
        </is>
      </c>
      <c r="G452" t="inlineStr"/>
      <c r="H452" t="inlineStr">
        <is>
          <t>1,000.00</t>
        </is>
      </c>
      <c r="I452" t="inlineStr">
        <is>
          <t>أدوات صحية</t>
        </is>
      </c>
    </row>
    <row r="453">
      <c r="A453">
        <f>IMAGE("https://files.manuscdn.com/user_upload_by_module/session_file/310519663766182518/poHUsRqLAiuFSDhy.png")</f>
        <v/>
      </c>
      <c r="B453" t="inlineStr">
        <is>
          <t>product_page070_item01</t>
        </is>
      </c>
      <c r="C453" t="inlineStr">
        <is>
          <t>Blocko</t>
        </is>
      </c>
      <c r="D453" t="inlineStr">
        <is>
          <t>N/A</t>
        </is>
      </c>
      <c r="E453" t="inlineStr"/>
      <c r="F453" t="inlineStr">
        <is>
          <t>متنوع</t>
        </is>
      </c>
      <c r="G453" t="inlineStr"/>
      <c r="H453" t="inlineStr">
        <is>
          <t>1,000.00</t>
        </is>
      </c>
      <c r="I453" t="inlineStr">
        <is>
          <t>أدوات صحية</t>
        </is>
      </c>
    </row>
    <row r="454">
      <c r="A454">
        <f>IMAGE("https://files.manuscdn.com/user_upload_by_module/session_file/310519663766182518/utiZvizpqjMwLJZk.png")</f>
        <v/>
      </c>
      <c r="B454" t="inlineStr">
        <is>
          <t>product_page070_item02</t>
        </is>
      </c>
      <c r="C454" t="inlineStr">
        <is>
          <t>Blocko</t>
        </is>
      </c>
      <c r="D454" t="inlineStr">
        <is>
          <t>N/A</t>
        </is>
      </c>
      <c r="E454" t="inlineStr"/>
      <c r="F454" t="inlineStr">
        <is>
          <t>متنوع</t>
        </is>
      </c>
      <c r="G454" t="inlineStr"/>
      <c r="H454" t="inlineStr">
        <is>
          <t>1,000.00</t>
        </is>
      </c>
      <c r="I454" t="inlineStr">
        <is>
          <t>أدوات صحية</t>
        </is>
      </c>
    </row>
    <row r="455">
      <c r="A455">
        <f>IMAGE("https://files.manuscdn.com/user_upload_by_module/session_file/310519663766182518/nHljppdpipcZkmeC.png")</f>
        <v/>
      </c>
      <c r="B455" t="inlineStr">
        <is>
          <t>product_page070_item03</t>
        </is>
      </c>
      <c r="C455" t="inlineStr">
        <is>
          <t>Blocko</t>
        </is>
      </c>
      <c r="D455" t="inlineStr">
        <is>
          <t>N/A</t>
        </is>
      </c>
      <c r="E455" t="inlineStr"/>
      <c r="F455" t="inlineStr">
        <is>
          <t>متنوع</t>
        </is>
      </c>
      <c r="G455" t="inlineStr"/>
      <c r="H455" t="inlineStr">
        <is>
          <t>1,000.00</t>
        </is>
      </c>
      <c r="I455" t="inlineStr">
        <is>
          <t>أدوات صحية</t>
        </is>
      </c>
    </row>
    <row r="456">
      <c r="A456">
        <f>IMAGE("https://files.manuscdn.com/user_upload_by_module/session_file/310519663766182518/fNESVixwymREkkUG.png")</f>
        <v/>
      </c>
      <c r="B456" t="inlineStr">
        <is>
          <t>product_page071_item00</t>
        </is>
      </c>
      <c r="C456" t="inlineStr">
        <is>
          <t>Blocko</t>
        </is>
      </c>
      <c r="D456" t="inlineStr">
        <is>
          <t>N/A</t>
        </is>
      </c>
      <c r="E456" t="inlineStr"/>
      <c r="F456" t="inlineStr">
        <is>
          <t>متنوع</t>
        </is>
      </c>
      <c r="G456" t="inlineStr"/>
      <c r="H456" t="inlineStr">
        <is>
          <t>1,000.00</t>
        </is>
      </c>
      <c r="I456" t="inlineStr">
        <is>
          <t>أدوات صحية</t>
        </is>
      </c>
    </row>
    <row r="457">
      <c r="A457">
        <f>IMAGE("https://files.manuscdn.com/user_upload_by_module/session_file/310519663766182518/YvmBgTVtMSbLXVYV.png")</f>
        <v/>
      </c>
      <c r="B457" t="inlineStr">
        <is>
          <t>product_page071_item01</t>
        </is>
      </c>
      <c r="C457" t="inlineStr">
        <is>
          <t>Blocko</t>
        </is>
      </c>
      <c r="D457" t="inlineStr">
        <is>
          <t>N/A</t>
        </is>
      </c>
      <c r="E457" t="inlineStr"/>
      <c r="F457" t="inlineStr">
        <is>
          <t>متنوع</t>
        </is>
      </c>
      <c r="G457" t="inlineStr"/>
      <c r="H457" t="inlineStr">
        <is>
          <t>1,000.00</t>
        </is>
      </c>
      <c r="I457" t="inlineStr">
        <is>
          <t>أدوات صحية</t>
        </is>
      </c>
    </row>
    <row r="458">
      <c r="A458">
        <f>IMAGE("https://files.manuscdn.com/user_upload_by_module/session_file/310519663766182518/nqMXtAARoXLvizxu.png")</f>
        <v/>
      </c>
      <c r="B458" t="inlineStr">
        <is>
          <t>product_page071_item02</t>
        </is>
      </c>
      <c r="C458" t="inlineStr">
        <is>
          <t>Blocko</t>
        </is>
      </c>
      <c r="D458" t="inlineStr">
        <is>
          <t>N/A</t>
        </is>
      </c>
      <c r="E458" t="inlineStr"/>
      <c r="F458" t="inlineStr">
        <is>
          <t>متنوع</t>
        </is>
      </c>
      <c r="G458" t="inlineStr"/>
      <c r="H458" t="inlineStr">
        <is>
          <t>1,000.00</t>
        </is>
      </c>
      <c r="I458" t="inlineStr">
        <is>
          <t>أدوات صحية</t>
        </is>
      </c>
    </row>
    <row r="459">
      <c r="A459">
        <f>IMAGE("https://files.manuscdn.com/user_upload_by_module/session_file/310519663766182518/LIMhgGRPaYQyXYdg.png")</f>
        <v/>
      </c>
      <c r="B459" t="inlineStr">
        <is>
          <t>product_page071_item03</t>
        </is>
      </c>
      <c r="C459" t="inlineStr">
        <is>
          <t>Blocko</t>
        </is>
      </c>
      <c r="D459" t="inlineStr">
        <is>
          <t>N/A</t>
        </is>
      </c>
      <c r="E459" t="inlineStr"/>
      <c r="F459" t="inlineStr">
        <is>
          <t>متنوع</t>
        </is>
      </c>
      <c r="G459" t="inlineStr"/>
      <c r="H459" t="inlineStr">
        <is>
          <t>1,000.00</t>
        </is>
      </c>
      <c r="I459" t="inlineStr">
        <is>
          <t>أدوات صحية</t>
        </is>
      </c>
    </row>
    <row r="460">
      <c r="A460">
        <f>IMAGE("https://files.manuscdn.com/user_upload_by_module/session_file/310519663766182518/zXySFdueYWHeSoAK.png")</f>
        <v/>
      </c>
      <c r="B460" t="inlineStr">
        <is>
          <t>product_page071_item04</t>
        </is>
      </c>
      <c r="C460" t="inlineStr">
        <is>
          <t>Blocko</t>
        </is>
      </c>
      <c r="D460" t="inlineStr">
        <is>
          <t>N/A</t>
        </is>
      </c>
      <c r="E460" t="inlineStr"/>
      <c r="F460" t="inlineStr">
        <is>
          <t>متنوع</t>
        </is>
      </c>
      <c r="G460" t="inlineStr"/>
      <c r="H460" t="inlineStr">
        <is>
          <t>1,000.00</t>
        </is>
      </c>
      <c r="I460" t="inlineStr">
        <is>
          <t>أدوات صحية</t>
        </is>
      </c>
    </row>
    <row r="461">
      <c r="A461">
        <f>IMAGE("https://files.manuscdn.com/user_upload_by_module/session_file/310519663766182518/MgiefFWOUyamJayP.png")</f>
        <v/>
      </c>
      <c r="B461" t="inlineStr">
        <is>
          <t>product_page071_item05</t>
        </is>
      </c>
      <c r="C461" t="inlineStr">
        <is>
          <t>Blocko</t>
        </is>
      </c>
      <c r="D461" t="inlineStr">
        <is>
          <t>N/A</t>
        </is>
      </c>
      <c r="E461" t="inlineStr"/>
      <c r="F461" t="inlineStr">
        <is>
          <t>متنوع</t>
        </is>
      </c>
      <c r="G461" t="inlineStr"/>
      <c r="H461" t="inlineStr">
        <is>
          <t>1,000.00</t>
        </is>
      </c>
      <c r="I461" t="inlineStr">
        <is>
          <t>أدوات صحية</t>
        </is>
      </c>
    </row>
    <row r="462">
      <c r="A462">
        <f>IMAGE("https://files.manuscdn.com/user_upload_by_module/session_file/310519663766182518/zarxTInPVDAZWINK.png")</f>
        <v/>
      </c>
      <c r="B462" t="inlineStr">
        <is>
          <t>product_page072_item00</t>
        </is>
      </c>
      <c r="C462" t="inlineStr">
        <is>
          <t>Blocko</t>
        </is>
      </c>
      <c r="D462" t="inlineStr">
        <is>
          <t>N/A</t>
        </is>
      </c>
      <c r="E462" t="inlineStr"/>
      <c r="F462" t="inlineStr">
        <is>
          <t>متنوع</t>
        </is>
      </c>
      <c r="G462" t="inlineStr"/>
      <c r="H462" t="inlineStr">
        <is>
          <t>1,000.00</t>
        </is>
      </c>
      <c r="I462" t="inlineStr">
        <is>
          <t>أدوات صحية</t>
        </is>
      </c>
    </row>
    <row r="463">
      <c r="A463">
        <f>IMAGE("https://files.manuscdn.com/user_upload_by_module/session_file/310519663766182518/tzKSQRGGievEVhiK.png")</f>
        <v/>
      </c>
      <c r="B463" t="inlineStr">
        <is>
          <t>product_page072_item01</t>
        </is>
      </c>
      <c r="C463" t="inlineStr">
        <is>
          <t>Blocko</t>
        </is>
      </c>
      <c r="D463" t="inlineStr">
        <is>
          <t>N/A</t>
        </is>
      </c>
      <c r="E463" t="inlineStr"/>
      <c r="F463" t="inlineStr">
        <is>
          <t>متنوع</t>
        </is>
      </c>
      <c r="G463" t="inlineStr"/>
      <c r="H463" t="inlineStr">
        <is>
          <t>1,000.00</t>
        </is>
      </c>
      <c r="I463" t="inlineStr">
        <is>
          <t>أدوات صحية</t>
        </is>
      </c>
    </row>
    <row r="464">
      <c r="A464">
        <f>IMAGE("https://files.manuscdn.com/user_upload_by_module/session_file/310519663766182518/ghhuakLGeUmcGmKs.png")</f>
        <v/>
      </c>
      <c r="B464" t="inlineStr">
        <is>
          <t>product_page072_item02</t>
        </is>
      </c>
      <c r="C464" t="inlineStr">
        <is>
          <t>Blocko</t>
        </is>
      </c>
      <c r="D464" t="inlineStr">
        <is>
          <t>N/A</t>
        </is>
      </c>
      <c r="E464" t="inlineStr"/>
      <c r="F464" t="inlineStr">
        <is>
          <t>متنوع</t>
        </is>
      </c>
      <c r="G464" t="inlineStr"/>
      <c r="H464" t="inlineStr">
        <is>
          <t>1,000.00</t>
        </is>
      </c>
      <c r="I464" t="inlineStr">
        <is>
          <t>أدوات صحية</t>
        </is>
      </c>
    </row>
    <row r="465">
      <c r="A465">
        <f>IMAGE("https://files.manuscdn.com/user_upload_by_module/session_file/310519663766182518/GYnJbrLLxqAbjyxb.png")</f>
        <v/>
      </c>
      <c r="B465" t="inlineStr">
        <is>
          <t>product_page072_item03</t>
        </is>
      </c>
      <c r="C465" t="inlineStr">
        <is>
          <t>Blocko</t>
        </is>
      </c>
      <c r="D465" t="inlineStr">
        <is>
          <t>N/A</t>
        </is>
      </c>
      <c r="E465" t="inlineStr"/>
      <c r="F465" t="inlineStr">
        <is>
          <t>متنوع</t>
        </is>
      </c>
      <c r="G465" t="inlineStr"/>
      <c r="H465" t="inlineStr">
        <is>
          <t>1,000.00</t>
        </is>
      </c>
      <c r="I465" t="inlineStr">
        <is>
          <t>أدوات صحية</t>
        </is>
      </c>
    </row>
    <row r="466">
      <c r="A466">
        <f>IMAGE("https://files.manuscdn.com/user_upload_by_module/session_file/310519663766182518/BjBDRGTFiGaXVXPQ.png")</f>
        <v/>
      </c>
      <c r="B466" t="inlineStr">
        <is>
          <t>product_page073_item00</t>
        </is>
      </c>
      <c r="C466" t="inlineStr">
        <is>
          <t>Blocko</t>
        </is>
      </c>
      <c r="D466" t="inlineStr">
        <is>
          <t>N/A</t>
        </is>
      </c>
      <c r="E466" t="inlineStr"/>
      <c r="F466" t="inlineStr">
        <is>
          <t>متنوع</t>
        </is>
      </c>
      <c r="G466" t="inlineStr"/>
      <c r="H466" t="inlineStr">
        <is>
          <t>1,000.00</t>
        </is>
      </c>
      <c r="I466" t="inlineStr">
        <is>
          <t>أدوات صحية</t>
        </is>
      </c>
    </row>
    <row r="467">
      <c r="A467">
        <f>IMAGE("https://files.manuscdn.com/user_upload_by_module/session_file/310519663766182518/XVajaAgMBBuAaKMv.png")</f>
        <v/>
      </c>
      <c r="B467" t="inlineStr">
        <is>
          <t>product_page073_item01</t>
        </is>
      </c>
      <c r="C467" t="inlineStr">
        <is>
          <t>Blocko</t>
        </is>
      </c>
      <c r="D467" t="inlineStr">
        <is>
          <t>N/A</t>
        </is>
      </c>
      <c r="E467" t="inlineStr"/>
      <c r="F467" t="inlineStr">
        <is>
          <t>متنوع</t>
        </is>
      </c>
      <c r="G467" t="inlineStr"/>
      <c r="H467" t="inlineStr">
        <is>
          <t>1,000.00</t>
        </is>
      </c>
      <c r="I467" t="inlineStr">
        <is>
          <t>أدوات صحية</t>
        </is>
      </c>
    </row>
    <row r="468">
      <c r="A468">
        <f>IMAGE("https://files.manuscdn.com/user_upload_by_module/session_file/310519663766182518/oBUHgOWpDHzfJaLL.png")</f>
        <v/>
      </c>
      <c r="B468" t="inlineStr">
        <is>
          <t>product_page073_item02</t>
        </is>
      </c>
      <c r="C468" t="inlineStr">
        <is>
          <t>Blocko</t>
        </is>
      </c>
      <c r="D468" t="inlineStr">
        <is>
          <t>N/A</t>
        </is>
      </c>
      <c r="E468" t="inlineStr"/>
      <c r="F468" t="inlineStr">
        <is>
          <t>متنوع</t>
        </is>
      </c>
      <c r="G468" t="inlineStr"/>
      <c r="H468" t="inlineStr">
        <is>
          <t>1,000.00</t>
        </is>
      </c>
      <c r="I468" t="inlineStr">
        <is>
          <t>أدوات صحية</t>
        </is>
      </c>
    </row>
    <row r="469">
      <c r="A469">
        <f>IMAGE("https://files.manuscdn.com/user_upload_by_module/session_file/310519663766182518/pxvznpXMdUVFlMWJ.png")</f>
        <v/>
      </c>
      <c r="B469" t="inlineStr">
        <is>
          <t>product_page073_item03</t>
        </is>
      </c>
      <c r="C469" t="inlineStr">
        <is>
          <t>Blocko</t>
        </is>
      </c>
      <c r="D469" t="inlineStr">
        <is>
          <t>N/A</t>
        </is>
      </c>
      <c r="E469" t="inlineStr"/>
      <c r="F469" t="inlineStr">
        <is>
          <t>متنوع</t>
        </is>
      </c>
      <c r="G469" t="inlineStr"/>
      <c r="H469" t="inlineStr">
        <is>
          <t>1,000.00</t>
        </is>
      </c>
      <c r="I469" t="inlineStr">
        <is>
          <t>أدوات صحية</t>
        </is>
      </c>
    </row>
    <row r="470">
      <c r="A470">
        <f>IMAGE("https://files.manuscdn.com/user_upload_by_module/session_file/310519663766182518/MmujOdwBSstjCwyD.png")</f>
        <v/>
      </c>
      <c r="B470" t="inlineStr">
        <is>
          <t>product_page073_item04</t>
        </is>
      </c>
      <c r="C470" t="inlineStr">
        <is>
          <t>Blocko</t>
        </is>
      </c>
      <c r="D470" t="inlineStr">
        <is>
          <t>N/A</t>
        </is>
      </c>
      <c r="E470" t="inlineStr"/>
      <c r="F470" t="inlineStr">
        <is>
          <t>متنوع</t>
        </is>
      </c>
      <c r="G470" t="inlineStr"/>
      <c r="H470" t="inlineStr">
        <is>
          <t>1,000.00</t>
        </is>
      </c>
      <c r="I470" t="inlineStr">
        <is>
          <t>أدوات صحية</t>
        </is>
      </c>
    </row>
    <row r="471">
      <c r="A471">
        <f>IMAGE("https://files.manuscdn.com/user_upload_by_module/session_file/310519663766182518/oMabFWMJyqwqLJww.png")</f>
        <v/>
      </c>
      <c r="B471" t="inlineStr">
        <is>
          <t>product_page073_item05</t>
        </is>
      </c>
      <c r="C471" t="inlineStr">
        <is>
          <t>Blocko</t>
        </is>
      </c>
      <c r="D471" t="inlineStr">
        <is>
          <t>N/A</t>
        </is>
      </c>
      <c r="E471" t="inlineStr"/>
      <c r="F471" t="inlineStr">
        <is>
          <t>متنوع</t>
        </is>
      </c>
      <c r="G471" t="inlineStr"/>
      <c r="H471" t="inlineStr">
        <is>
          <t>1,000.00</t>
        </is>
      </c>
      <c r="I471" t="inlineStr">
        <is>
          <t>أدوات صحية</t>
        </is>
      </c>
    </row>
    <row r="472">
      <c r="A472">
        <f>IMAGE("https://files.manuscdn.com/user_upload_by_module/session_file/310519663766182518/RhyZKoOaQcLtyJVD.png")</f>
        <v/>
      </c>
      <c r="B472" t="inlineStr">
        <is>
          <t>product_page074_item00</t>
        </is>
      </c>
      <c r="C472" t="inlineStr">
        <is>
          <t>Blocko</t>
        </is>
      </c>
      <c r="D472" t="inlineStr">
        <is>
          <t>N/A</t>
        </is>
      </c>
      <c r="E472" t="inlineStr"/>
      <c r="F472" t="inlineStr">
        <is>
          <t>متنوع</t>
        </is>
      </c>
      <c r="G472" t="inlineStr"/>
      <c r="H472" t="inlineStr">
        <is>
          <t>1,000.00</t>
        </is>
      </c>
      <c r="I472" t="inlineStr">
        <is>
          <t>أدوات صحية</t>
        </is>
      </c>
    </row>
    <row r="473">
      <c r="A473">
        <f>IMAGE("https://files.manuscdn.com/user_upload_by_module/session_file/310519663766182518/qXtbrifjoMeHYXKX.png")</f>
        <v/>
      </c>
      <c r="B473" t="inlineStr">
        <is>
          <t>product_page074_item01</t>
        </is>
      </c>
      <c r="C473" t="inlineStr">
        <is>
          <t>Blocko</t>
        </is>
      </c>
      <c r="D473" t="inlineStr">
        <is>
          <t>N/A</t>
        </is>
      </c>
      <c r="E473" t="inlineStr"/>
      <c r="F473" t="inlineStr">
        <is>
          <t>متنوع</t>
        </is>
      </c>
      <c r="G473" t="inlineStr"/>
      <c r="H473" t="inlineStr">
        <is>
          <t>1,000.00</t>
        </is>
      </c>
      <c r="I473" t="inlineStr">
        <is>
          <t>أدوات صحية</t>
        </is>
      </c>
    </row>
    <row r="474">
      <c r="A474">
        <f>IMAGE("https://files.manuscdn.com/user_upload_by_module/session_file/310519663766182518/cXJihczQThjuLBSL.png")</f>
        <v/>
      </c>
      <c r="B474" t="inlineStr">
        <is>
          <t>product_page074_item02</t>
        </is>
      </c>
      <c r="C474" t="inlineStr">
        <is>
          <t>Blocko</t>
        </is>
      </c>
      <c r="D474" t="inlineStr">
        <is>
          <t>N/A</t>
        </is>
      </c>
      <c r="E474" t="inlineStr"/>
      <c r="F474" t="inlineStr">
        <is>
          <t>متنوع</t>
        </is>
      </c>
      <c r="G474" t="inlineStr"/>
      <c r="H474" t="inlineStr">
        <is>
          <t>1,000.00</t>
        </is>
      </c>
      <c r="I474" t="inlineStr">
        <is>
          <t>أدوات صحية</t>
        </is>
      </c>
    </row>
    <row r="475">
      <c r="A475">
        <f>IMAGE("https://files.manuscdn.com/user_upload_by_module/session_file/310519663766182518/SePBqLjIUtaRGYeL.png")</f>
        <v/>
      </c>
      <c r="B475" t="inlineStr">
        <is>
          <t>product_page074_item03</t>
        </is>
      </c>
      <c r="C475" t="inlineStr">
        <is>
          <t>Blocko</t>
        </is>
      </c>
      <c r="D475" t="inlineStr">
        <is>
          <t>N/A</t>
        </is>
      </c>
      <c r="E475" t="inlineStr"/>
      <c r="F475" t="inlineStr">
        <is>
          <t>متنوع</t>
        </is>
      </c>
      <c r="G475" t="inlineStr"/>
      <c r="H475" t="inlineStr">
        <is>
          <t>1,000.00</t>
        </is>
      </c>
      <c r="I475" t="inlineStr">
        <is>
          <t>أدوات صحية</t>
        </is>
      </c>
    </row>
    <row r="476">
      <c r="A476">
        <f>IMAGE("https://files.manuscdn.com/user_upload_by_module/session_file/310519663766182518/kWTzCNsGHPExkxxw.png")</f>
        <v/>
      </c>
      <c r="B476" t="inlineStr">
        <is>
          <t>product_page074_item04</t>
        </is>
      </c>
      <c r="C476" t="inlineStr">
        <is>
          <t>Blocko</t>
        </is>
      </c>
      <c r="D476" t="inlineStr">
        <is>
          <t>N/A</t>
        </is>
      </c>
      <c r="E476" t="inlineStr"/>
      <c r="F476" t="inlineStr">
        <is>
          <t>متنوع</t>
        </is>
      </c>
      <c r="G476" t="inlineStr"/>
      <c r="H476" t="inlineStr">
        <is>
          <t>1,000.00</t>
        </is>
      </c>
      <c r="I476" t="inlineStr">
        <is>
          <t>أدوات صحية</t>
        </is>
      </c>
    </row>
    <row r="477">
      <c r="A477">
        <f>IMAGE("https://files.manuscdn.com/user_upload_by_module/session_file/310519663766182518/TohyLYzASmDtuclG.png")</f>
        <v/>
      </c>
      <c r="B477" t="inlineStr">
        <is>
          <t>product_page074_item05</t>
        </is>
      </c>
      <c r="C477" t="inlineStr">
        <is>
          <t>Blocko</t>
        </is>
      </c>
      <c r="D477" t="inlineStr">
        <is>
          <t>N/A</t>
        </is>
      </c>
      <c r="E477" t="inlineStr"/>
      <c r="F477" t="inlineStr">
        <is>
          <t>متنوع</t>
        </is>
      </c>
      <c r="G477" t="inlineStr"/>
      <c r="H477" t="inlineStr">
        <is>
          <t>1,000.00</t>
        </is>
      </c>
      <c r="I477" t="inlineStr">
        <is>
          <t>أدوات صحية</t>
        </is>
      </c>
    </row>
    <row r="478">
      <c r="A478">
        <f>IMAGE("https://files.manuscdn.com/user_upload_by_module/session_file/310519663766182518/BYfaOaFvlSzcDqWN.png")</f>
        <v/>
      </c>
      <c r="B478" t="inlineStr">
        <is>
          <t>product_page075_item00</t>
        </is>
      </c>
      <c r="C478" t="inlineStr">
        <is>
          <t>Blocko</t>
        </is>
      </c>
      <c r="D478" t="inlineStr">
        <is>
          <t>N/A</t>
        </is>
      </c>
      <c r="E478" t="inlineStr"/>
      <c r="F478" t="inlineStr">
        <is>
          <t>متنوع</t>
        </is>
      </c>
      <c r="G478" t="inlineStr"/>
      <c r="H478" t="inlineStr">
        <is>
          <t>1,000.00</t>
        </is>
      </c>
      <c r="I478" t="inlineStr">
        <is>
          <t>أدوات صحية</t>
        </is>
      </c>
    </row>
    <row r="479">
      <c r="A479">
        <f>IMAGE("https://files.manuscdn.com/user_upload_by_module/session_file/310519663766182518/PNmiriMtcULDdWaH.png")</f>
        <v/>
      </c>
      <c r="B479" t="inlineStr">
        <is>
          <t>product_page075_item01</t>
        </is>
      </c>
      <c r="C479" t="inlineStr">
        <is>
          <t>Blocko</t>
        </is>
      </c>
      <c r="D479" t="inlineStr">
        <is>
          <t>N/A</t>
        </is>
      </c>
      <c r="E479" t="inlineStr"/>
      <c r="F479" t="inlineStr">
        <is>
          <t>متنوع</t>
        </is>
      </c>
      <c r="G479" t="inlineStr"/>
      <c r="H479" t="inlineStr">
        <is>
          <t>1,000.00</t>
        </is>
      </c>
      <c r="I479" t="inlineStr">
        <is>
          <t>أدوات صحية</t>
        </is>
      </c>
    </row>
    <row r="480">
      <c r="A480">
        <f>IMAGE("https://files.manuscdn.com/user_upload_by_module/session_file/310519663766182518/QzziSvLAFjtplMnT.png")</f>
        <v/>
      </c>
      <c r="B480" t="inlineStr">
        <is>
          <t>product_page075_item02</t>
        </is>
      </c>
      <c r="C480" t="inlineStr">
        <is>
          <t>Blocko</t>
        </is>
      </c>
      <c r="D480" t="inlineStr">
        <is>
          <t>N/A</t>
        </is>
      </c>
      <c r="E480" t="inlineStr"/>
      <c r="F480" t="inlineStr">
        <is>
          <t>متنوع</t>
        </is>
      </c>
      <c r="G480" t="inlineStr"/>
      <c r="H480" t="inlineStr">
        <is>
          <t>1,000.00</t>
        </is>
      </c>
      <c r="I480" t="inlineStr">
        <is>
          <t>أدوات صحية</t>
        </is>
      </c>
    </row>
    <row r="481">
      <c r="A481">
        <f>IMAGE("https://files.manuscdn.com/user_upload_by_module/session_file/310519663766182518/mkaOcraEKkoNyTcP.png")</f>
        <v/>
      </c>
      <c r="B481" t="inlineStr">
        <is>
          <t>product_page076_item00</t>
        </is>
      </c>
      <c r="C481" t="inlineStr">
        <is>
          <t>Blocko</t>
        </is>
      </c>
      <c r="D481" t="inlineStr">
        <is>
          <t>N/A</t>
        </is>
      </c>
      <c r="E481" t="inlineStr"/>
      <c r="F481" t="inlineStr">
        <is>
          <t>متنوع</t>
        </is>
      </c>
      <c r="G481" t="inlineStr"/>
      <c r="H481" t="inlineStr">
        <is>
          <t>1,000.00</t>
        </is>
      </c>
      <c r="I481" t="inlineStr">
        <is>
          <t>أدوات صحية</t>
        </is>
      </c>
    </row>
    <row r="482">
      <c r="A482">
        <f>IMAGE("https://files.manuscdn.com/user_upload_by_module/session_file/310519663766182518/UCYuWswraNPjxZKG.png")</f>
        <v/>
      </c>
      <c r="B482" t="inlineStr">
        <is>
          <t>product_page076_item01</t>
        </is>
      </c>
      <c r="C482" t="inlineStr">
        <is>
          <t>Blocko</t>
        </is>
      </c>
      <c r="D482" t="inlineStr">
        <is>
          <t>N/A</t>
        </is>
      </c>
      <c r="E482" t="inlineStr"/>
      <c r="F482" t="inlineStr">
        <is>
          <t>متنوع</t>
        </is>
      </c>
      <c r="G482" t="inlineStr"/>
      <c r="H482" t="inlineStr">
        <is>
          <t>1,000.00</t>
        </is>
      </c>
      <c r="I482" t="inlineStr">
        <is>
          <t>أدوات صحية</t>
        </is>
      </c>
    </row>
    <row r="483">
      <c r="A483">
        <f>IMAGE("https://files.manuscdn.com/user_upload_by_module/session_file/310519663766182518/RRRvAIARZrMUhEWw.png")</f>
        <v/>
      </c>
      <c r="B483" t="inlineStr">
        <is>
          <t>product_page077_item00</t>
        </is>
      </c>
      <c r="C483" t="inlineStr">
        <is>
          <t>Blocko</t>
        </is>
      </c>
      <c r="D483" t="inlineStr">
        <is>
          <t>N/A</t>
        </is>
      </c>
      <c r="E483" t="inlineStr"/>
      <c r="F483" t="inlineStr">
        <is>
          <t>متنوع</t>
        </is>
      </c>
      <c r="G483" t="inlineStr"/>
      <c r="H483" t="inlineStr">
        <is>
          <t>1,000.00</t>
        </is>
      </c>
      <c r="I483" t="inlineStr">
        <is>
          <t>أدوات صحية</t>
        </is>
      </c>
    </row>
    <row r="484">
      <c r="A484">
        <f>IMAGE("https://files.manuscdn.com/user_upload_by_module/session_file/310519663766182518/XsOPqulyfufhhSfI.png")</f>
        <v/>
      </c>
      <c r="B484" t="inlineStr">
        <is>
          <t>product_page077_item01</t>
        </is>
      </c>
      <c r="C484" t="inlineStr">
        <is>
          <t>Blocko</t>
        </is>
      </c>
      <c r="D484" t="inlineStr">
        <is>
          <t>N/A</t>
        </is>
      </c>
      <c r="E484" t="inlineStr"/>
      <c r="F484" t="inlineStr">
        <is>
          <t>متنوع</t>
        </is>
      </c>
      <c r="G484" t="inlineStr"/>
      <c r="H484" t="inlineStr">
        <is>
          <t>1,000.00</t>
        </is>
      </c>
      <c r="I484" t="inlineStr">
        <is>
          <t>أدوات صحية</t>
        </is>
      </c>
    </row>
    <row r="485">
      <c r="A485">
        <f>IMAGE("https://files.manuscdn.com/user_upload_by_module/session_file/310519663766182518/rgPOQVjPPorHrzsN.png")</f>
        <v/>
      </c>
      <c r="B485" t="inlineStr">
        <is>
          <t>product_page077_item02</t>
        </is>
      </c>
      <c r="C485" t="inlineStr">
        <is>
          <t>Blocko</t>
        </is>
      </c>
      <c r="D485" t="inlineStr">
        <is>
          <t>N/A</t>
        </is>
      </c>
      <c r="E485" t="inlineStr"/>
      <c r="F485" t="inlineStr">
        <is>
          <t>متنوع</t>
        </is>
      </c>
      <c r="G485" t="inlineStr"/>
      <c r="H485" t="inlineStr">
        <is>
          <t>1,000.00</t>
        </is>
      </c>
      <c r="I485" t="inlineStr">
        <is>
          <t>أدوات صحية</t>
        </is>
      </c>
    </row>
    <row r="486">
      <c r="A486">
        <f>IMAGE("https://files.manuscdn.com/user_upload_by_module/session_file/310519663766182518/mxgQqjoodpEAEqqd.png")</f>
        <v/>
      </c>
      <c r="B486" t="inlineStr">
        <is>
          <t>product_page077_item03</t>
        </is>
      </c>
      <c r="C486" t="inlineStr">
        <is>
          <t>Blocko</t>
        </is>
      </c>
      <c r="D486" t="inlineStr">
        <is>
          <t>N/A</t>
        </is>
      </c>
      <c r="E486" t="inlineStr"/>
      <c r="F486" t="inlineStr">
        <is>
          <t>متنوع</t>
        </is>
      </c>
      <c r="G486" t="inlineStr"/>
      <c r="H486" t="inlineStr">
        <is>
          <t>1,000.00</t>
        </is>
      </c>
      <c r="I486" t="inlineStr">
        <is>
          <t>أدوات صحية</t>
        </is>
      </c>
    </row>
    <row r="487">
      <c r="A487">
        <f>IMAGE("https://files.manuscdn.com/user_upload_by_module/session_file/310519663766182518/hLzNzEvQfeZjQKaS.png")</f>
        <v/>
      </c>
      <c r="B487" t="inlineStr">
        <is>
          <t>product_page078_item00</t>
        </is>
      </c>
      <c r="C487" t="inlineStr">
        <is>
          <t>Blocko</t>
        </is>
      </c>
      <c r="D487" t="inlineStr">
        <is>
          <t>N/A</t>
        </is>
      </c>
      <c r="E487" t="inlineStr"/>
      <c r="F487" t="inlineStr">
        <is>
          <t>متنوع</t>
        </is>
      </c>
      <c r="G487" t="inlineStr"/>
      <c r="H487" t="inlineStr">
        <is>
          <t>1,000.00</t>
        </is>
      </c>
      <c r="I487" t="inlineStr">
        <is>
          <t>أدوات صحية</t>
        </is>
      </c>
    </row>
    <row r="488">
      <c r="A488">
        <f>IMAGE("https://files.manuscdn.com/user_upload_by_module/session_file/310519663766182518/QGicPZaNrdLTTwzz.png")</f>
        <v/>
      </c>
      <c r="B488" t="inlineStr">
        <is>
          <t>product_page078_item01</t>
        </is>
      </c>
      <c r="C488" t="inlineStr">
        <is>
          <t>Blocko</t>
        </is>
      </c>
      <c r="D488" t="inlineStr">
        <is>
          <t>N/A</t>
        </is>
      </c>
      <c r="E488" t="inlineStr"/>
      <c r="F488" t="inlineStr">
        <is>
          <t>متنوع</t>
        </is>
      </c>
      <c r="G488" t="inlineStr"/>
      <c r="H488" t="inlineStr">
        <is>
          <t>1,000.00</t>
        </is>
      </c>
      <c r="I488" t="inlineStr">
        <is>
          <t>أدوات صحية</t>
        </is>
      </c>
    </row>
    <row r="489">
      <c r="A489">
        <f>IMAGE("https://files.manuscdn.com/user_upload_by_module/session_file/310519663766182518/FbIwIcetICXaZtEb.png")</f>
        <v/>
      </c>
      <c r="B489" t="inlineStr">
        <is>
          <t>product_page078_item02</t>
        </is>
      </c>
      <c r="C489" t="inlineStr">
        <is>
          <t>Blocko</t>
        </is>
      </c>
      <c r="D489" t="inlineStr">
        <is>
          <t>N/A</t>
        </is>
      </c>
      <c r="E489" t="inlineStr"/>
      <c r="F489" t="inlineStr">
        <is>
          <t>متنوع</t>
        </is>
      </c>
      <c r="G489" t="inlineStr"/>
      <c r="H489" t="inlineStr">
        <is>
          <t>1,000.00</t>
        </is>
      </c>
      <c r="I489" t="inlineStr">
        <is>
          <t>أدوات صحية</t>
        </is>
      </c>
    </row>
    <row r="490">
      <c r="A490">
        <f>IMAGE("https://files.manuscdn.com/user_upload_by_module/session_file/310519663766182518/rEzMFldWPHKwDFrB.png")</f>
        <v/>
      </c>
      <c r="B490" t="inlineStr">
        <is>
          <t>product_page078_item03</t>
        </is>
      </c>
      <c r="C490" t="inlineStr">
        <is>
          <t>Blocko</t>
        </is>
      </c>
      <c r="D490" t="inlineStr">
        <is>
          <t>N/A</t>
        </is>
      </c>
      <c r="E490" t="inlineStr"/>
      <c r="F490" t="inlineStr">
        <is>
          <t>متنوع</t>
        </is>
      </c>
      <c r="G490" t="inlineStr"/>
      <c r="H490" t="inlineStr">
        <is>
          <t>1,000.00</t>
        </is>
      </c>
      <c r="I490" t="inlineStr">
        <is>
          <t>أدوات صحية</t>
        </is>
      </c>
    </row>
    <row r="491">
      <c r="A491">
        <f>IMAGE("https://files.manuscdn.com/user_upload_by_module/session_file/310519663766182518/qAtXlfBmTZKMsMpy.png")</f>
        <v/>
      </c>
      <c r="B491" t="inlineStr">
        <is>
          <t>product_page078_item04</t>
        </is>
      </c>
      <c r="C491" t="inlineStr">
        <is>
          <t>Blocko</t>
        </is>
      </c>
      <c r="D491" t="inlineStr">
        <is>
          <t>N/A</t>
        </is>
      </c>
      <c r="E491" t="inlineStr"/>
      <c r="F491" t="inlineStr">
        <is>
          <t>متنوع</t>
        </is>
      </c>
      <c r="G491" t="inlineStr"/>
      <c r="H491" t="inlineStr">
        <is>
          <t>1,000.00</t>
        </is>
      </c>
      <c r="I491" t="inlineStr">
        <is>
          <t>أدوات صحية</t>
        </is>
      </c>
    </row>
    <row r="492">
      <c r="A492">
        <f>IMAGE("https://files.manuscdn.com/user_upload_by_module/session_file/310519663766182518/ngmsUedLpdAsztCv.png")</f>
        <v/>
      </c>
      <c r="B492" t="inlineStr">
        <is>
          <t>product_page078_item05</t>
        </is>
      </c>
      <c r="C492" t="inlineStr">
        <is>
          <t>Blocko</t>
        </is>
      </c>
      <c r="D492" t="inlineStr">
        <is>
          <t>N/A</t>
        </is>
      </c>
      <c r="E492" t="inlineStr"/>
      <c r="F492" t="inlineStr">
        <is>
          <t>متنوع</t>
        </is>
      </c>
      <c r="G492" t="inlineStr"/>
      <c r="H492" t="inlineStr">
        <is>
          <t>1,000.00</t>
        </is>
      </c>
      <c r="I492" t="inlineStr">
        <is>
          <t>أدوات صحية</t>
        </is>
      </c>
    </row>
    <row r="493">
      <c r="A493">
        <f>IMAGE("https://files.manuscdn.com/user_upload_by_module/session_file/310519663766182518/fCAzaqYFVGyhpBdI.png")</f>
        <v/>
      </c>
      <c r="B493" t="inlineStr">
        <is>
          <t>product_page079_item00</t>
        </is>
      </c>
      <c r="C493" t="inlineStr">
        <is>
          <t>Blocko</t>
        </is>
      </c>
      <c r="D493" t="inlineStr">
        <is>
          <t>N/A</t>
        </is>
      </c>
      <c r="E493" t="inlineStr"/>
      <c r="F493" t="inlineStr">
        <is>
          <t>متنوع</t>
        </is>
      </c>
      <c r="G493" t="inlineStr"/>
      <c r="H493" t="inlineStr">
        <is>
          <t>1,000.00</t>
        </is>
      </c>
      <c r="I493" t="inlineStr">
        <is>
          <t>أدوات صحية</t>
        </is>
      </c>
    </row>
    <row r="494">
      <c r="A494">
        <f>IMAGE("https://files.manuscdn.com/user_upload_by_module/session_file/310519663766182518/GpBhagZlpyTLEcdL.png")</f>
        <v/>
      </c>
      <c r="B494" t="inlineStr">
        <is>
          <t>product_page079_item01</t>
        </is>
      </c>
      <c r="C494" t="inlineStr">
        <is>
          <t>Blocko</t>
        </is>
      </c>
      <c r="D494" t="inlineStr">
        <is>
          <t>N/A</t>
        </is>
      </c>
      <c r="E494" t="inlineStr"/>
      <c r="F494" t="inlineStr">
        <is>
          <t>متنوع</t>
        </is>
      </c>
      <c r="G494" t="inlineStr"/>
      <c r="H494" t="inlineStr">
        <is>
          <t>1,000.00</t>
        </is>
      </c>
      <c r="I494" t="inlineStr">
        <is>
          <t>أدوات صحية</t>
        </is>
      </c>
    </row>
    <row r="495">
      <c r="A495">
        <f>IMAGE("https://files.manuscdn.com/user_upload_by_module/session_file/310519663766182518/REiOSKpWOhqzXPyA.png")</f>
        <v/>
      </c>
      <c r="B495" t="inlineStr">
        <is>
          <t>product_page079_item02</t>
        </is>
      </c>
      <c r="C495" t="inlineStr">
        <is>
          <t>Blocko</t>
        </is>
      </c>
      <c r="D495" t="inlineStr">
        <is>
          <t>N/A</t>
        </is>
      </c>
      <c r="E495" t="inlineStr"/>
      <c r="F495" t="inlineStr">
        <is>
          <t>متنوع</t>
        </is>
      </c>
      <c r="G495" t="inlineStr"/>
      <c r="H495" t="inlineStr">
        <is>
          <t>1,000.00</t>
        </is>
      </c>
      <c r="I495" t="inlineStr">
        <is>
          <t>أدوات صحية</t>
        </is>
      </c>
    </row>
    <row r="496">
      <c r="A496">
        <f>IMAGE("https://files.manuscdn.com/user_upload_by_module/session_file/310519663766182518/hUgkdVtGLnJNEUOh.png")</f>
        <v/>
      </c>
      <c r="B496" t="inlineStr">
        <is>
          <t>product_page079_item03</t>
        </is>
      </c>
      <c r="C496" t="inlineStr">
        <is>
          <t>Blocko</t>
        </is>
      </c>
      <c r="D496" t="inlineStr">
        <is>
          <t>N/A</t>
        </is>
      </c>
      <c r="E496" t="inlineStr"/>
      <c r="F496" t="inlineStr">
        <is>
          <t>متنوع</t>
        </is>
      </c>
      <c r="G496" t="inlineStr"/>
      <c r="H496" t="inlineStr">
        <is>
          <t>1,000.00</t>
        </is>
      </c>
      <c r="I496" t="inlineStr">
        <is>
          <t>أدوات صحية</t>
        </is>
      </c>
    </row>
    <row r="497">
      <c r="A497">
        <f>IMAGE("https://files.manuscdn.com/user_upload_by_module/session_file/310519663766182518/LzVqXqhoNjmSPist.png")</f>
        <v/>
      </c>
      <c r="B497" t="inlineStr">
        <is>
          <t>product_page079_item04</t>
        </is>
      </c>
      <c r="C497" t="inlineStr">
        <is>
          <t>Blocko</t>
        </is>
      </c>
      <c r="D497" t="inlineStr">
        <is>
          <t>N/A</t>
        </is>
      </c>
      <c r="E497" t="inlineStr"/>
      <c r="F497" t="inlineStr">
        <is>
          <t>متنوع</t>
        </is>
      </c>
      <c r="G497" t="inlineStr"/>
      <c r="H497" t="inlineStr">
        <is>
          <t>1,000.00</t>
        </is>
      </c>
      <c r="I497" t="inlineStr">
        <is>
          <t>أدوات صحية</t>
        </is>
      </c>
    </row>
    <row r="498">
      <c r="A498">
        <f>IMAGE("https://files.manuscdn.com/user_upload_by_module/session_file/310519663766182518/KCBEdOCXjFYIkhPj.png")</f>
        <v/>
      </c>
      <c r="B498" t="inlineStr">
        <is>
          <t>product_page079_item05</t>
        </is>
      </c>
      <c r="C498" t="inlineStr">
        <is>
          <t>Blocko</t>
        </is>
      </c>
      <c r="D498" t="inlineStr">
        <is>
          <t>N/A</t>
        </is>
      </c>
      <c r="E498" t="inlineStr"/>
      <c r="F498" t="inlineStr">
        <is>
          <t>متنوع</t>
        </is>
      </c>
      <c r="G498" t="inlineStr"/>
      <c r="H498" t="inlineStr">
        <is>
          <t>1,000.00</t>
        </is>
      </c>
      <c r="I498" t="inlineStr">
        <is>
          <t>أدوات صحية</t>
        </is>
      </c>
    </row>
    <row r="499">
      <c r="A499">
        <f>IMAGE("https://files.manuscdn.com/user_upload_by_module/session_file/310519663766182518/NtbcXEpYLkEeUnFp.png")</f>
        <v/>
      </c>
      <c r="B499" t="inlineStr">
        <is>
          <t>product_page079_item06</t>
        </is>
      </c>
      <c r="C499" t="inlineStr">
        <is>
          <t>Blocko</t>
        </is>
      </c>
      <c r="D499" t="inlineStr">
        <is>
          <t>N/A</t>
        </is>
      </c>
      <c r="E499" t="inlineStr"/>
      <c r="F499" t="inlineStr">
        <is>
          <t>متنوع</t>
        </is>
      </c>
      <c r="G499" t="inlineStr"/>
      <c r="H499" t="inlineStr">
        <is>
          <t>1,000.00</t>
        </is>
      </c>
      <c r="I499" t="inlineStr">
        <is>
          <t>أدوات صحية</t>
        </is>
      </c>
    </row>
    <row r="500">
      <c r="A500">
        <f>IMAGE("https://files.manuscdn.com/user_upload_by_module/session_file/310519663766182518/xuiVXIQHIJzodKNo.png")</f>
        <v/>
      </c>
      <c r="B500" t="inlineStr">
        <is>
          <t>product_page079_item07</t>
        </is>
      </c>
      <c r="C500" t="inlineStr">
        <is>
          <t>Blocko</t>
        </is>
      </c>
      <c r="D500" t="inlineStr">
        <is>
          <t>N/A</t>
        </is>
      </c>
      <c r="E500" t="inlineStr"/>
      <c r="F500" t="inlineStr">
        <is>
          <t>متنوع</t>
        </is>
      </c>
      <c r="G500" t="inlineStr"/>
      <c r="H500" t="inlineStr">
        <is>
          <t>1,000.00</t>
        </is>
      </c>
      <c r="I500" t="inlineStr">
        <is>
          <t>أدوات صحية</t>
        </is>
      </c>
    </row>
    <row r="501">
      <c r="A501">
        <f>IMAGE("https://files.manuscdn.com/user_upload_by_module/session_file/310519663766182518/VhWutyPjNgtxInhK.png")</f>
        <v/>
      </c>
      <c r="B501" t="inlineStr">
        <is>
          <t>product_page080_item00</t>
        </is>
      </c>
      <c r="C501" t="inlineStr">
        <is>
          <t>Blocko</t>
        </is>
      </c>
      <c r="D501" t="inlineStr">
        <is>
          <t>N/A</t>
        </is>
      </c>
      <c r="E501" t="inlineStr"/>
      <c r="F501" t="inlineStr">
        <is>
          <t>متنوع</t>
        </is>
      </c>
      <c r="G501" t="inlineStr"/>
      <c r="H501" t="inlineStr">
        <is>
          <t>1,000.00</t>
        </is>
      </c>
      <c r="I501" t="inlineStr">
        <is>
          <t>أدوات صحية</t>
        </is>
      </c>
    </row>
    <row r="502">
      <c r="A502">
        <f>IMAGE("https://files.manuscdn.com/user_upload_by_module/session_file/310519663766182518/zJgNbyvoArBQQCfN.png")</f>
        <v/>
      </c>
      <c r="B502" t="inlineStr">
        <is>
          <t>product_page080_item01</t>
        </is>
      </c>
      <c r="C502" t="inlineStr">
        <is>
          <t>Blocko</t>
        </is>
      </c>
      <c r="D502" t="inlineStr">
        <is>
          <t>N/A</t>
        </is>
      </c>
      <c r="E502" t="inlineStr"/>
      <c r="F502" t="inlineStr">
        <is>
          <t>متنوع</t>
        </is>
      </c>
      <c r="G502" t="inlineStr"/>
      <c r="H502" t="inlineStr">
        <is>
          <t>1,000.00</t>
        </is>
      </c>
      <c r="I502" t="inlineStr">
        <is>
          <t>أدوات صحية</t>
        </is>
      </c>
    </row>
    <row r="503">
      <c r="A503">
        <f>IMAGE("https://files.manuscdn.com/user_upload_by_module/session_file/310519663766182518/SJjwmEFfdAAyjFqc.png")</f>
        <v/>
      </c>
      <c r="B503" t="inlineStr">
        <is>
          <t>product_page080_item02</t>
        </is>
      </c>
      <c r="C503" t="inlineStr">
        <is>
          <t>Blocko</t>
        </is>
      </c>
      <c r="D503" t="inlineStr">
        <is>
          <t>N/A</t>
        </is>
      </c>
      <c r="E503" t="inlineStr"/>
      <c r="F503" t="inlineStr">
        <is>
          <t>متنوع</t>
        </is>
      </c>
      <c r="G503" t="inlineStr"/>
      <c r="H503" t="inlineStr">
        <is>
          <t>1,000.00</t>
        </is>
      </c>
      <c r="I503" t="inlineStr">
        <is>
          <t>أدوات صحية</t>
        </is>
      </c>
    </row>
    <row r="504">
      <c r="A504">
        <f>IMAGE("https://files.manuscdn.com/user_upload_by_module/session_file/310519663766182518/mWMOLBYqNiPqzsbd.png")</f>
        <v/>
      </c>
      <c r="B504" t="inlineStr">
        <is>
          <t>product_page080_item03</t>
        </is>
      </c>
      <c r="C504" t="inlineStr">
        <is>
          <t>Blocko</t>
        </is>
      </c>
      <c r="D504" t="inlineStr">
        <is>
          <t>N/A</t>
        </is>
      </c>
      <c r="E504" t="inlineStr"/>
      <c r="F504" t="inlineStr">
        <is>
          <t>متنوع</t>
        </is>
      </c>
      <c r="G504" t="inlineStr"/>
      <c r="H504" t="inlineStr">
        <is>
          <t>1,000.00</t>
        </is>
      </c>
      <c r="I504" t="inlineStr">
        <is>
          <t>أدوات صحية</t>
        </is>
      </c>
    </row>
    <row r="505">
      <c r="A505">
        <f>IMAGE("https://files.manuscdn.com/user_upload_by_module/session_file/310519663766182518/NtoLvKhdxQsNeaHO.png")</f>
        <v/>
      </c>
      <c r="B505" t="inlineStr">
        <is>
          <t>product_page080_item04</t>
        </is>
      </c>
      <c r="C505" t="inlineStr">
        <is>
          <t>Blocko</t>
        </is>
      </c>
      <c r="D505" t="inlineStr">
        <is>
          <t>N/A</t>
        </is>
      </c>
      <c r="E505" t="inlineStr"/>
      <c r="F505" t="inlineStr">
        <is>
          <t>متنوع</t>
        </is>
      </c>
      <c r="G505" t="inlineStr"/>
      <c r="H505" t="inlineStr">
        <is>
          <t>1,000.00</t>
        </is>
      </c>
      <c r="I505" t="inlineStr">
        <is>
          <t>أدوات صحية</t>
        </is>
      </c>
    </row>
    <row r="506">
      <c r="A506">
        <f>IMAGE("https://files.manuscdn.com/user_upload_by_module/session_file/310519663766182518/jCdsdeckUUPwjxsA.png")</f>
        <v/>
      </c>
      <c r="B506" t="inlineStr">
        <is>
          <t>product_page080_item05</t>
        </is>
      </c>
      <c r="C506" t="inlineStr">
        <is>
          <t>Blocko</t>
        </is>
      </c>
      <c r="D506" t="inlineStr">
        <is>
          <t>N/A</t>
        </is>
      </c>
      <c r="E506" t="inlineStr"/>
      <c r="F506" t="inlineStr">
        <is>
          <t>متنوع</t>
        </is>
      </c>
      <c r="G506" t="inlineStr"/>
      <c r="H506" t="inlineStr">
        <is>
          <t>1,000.00</t>
        </is>
      </c>
      <c r="I506" t="inlineStr">
        <is>
          <t>أدوات صحية</t>
        </is>
      </c>
    </row>
    <row r="507">
      <c r="A507">
        <f>IMAGE("https://files.manuscdn.com/user_upload_by_module/session_file/310519663766182518/gCgOhhxAtFqLMJvC.png")</f>
        <v/>
      </c>
      <c r="B507" t="inlineStr">
        <is>
          <t>product_page080_item06</t>
        </is>
      </c>
      <c r="C507" t="inlineStr">
        <is>
          <t>Blocko</t>
        </is>
      </c>
      <c r="D507" t="inlineStr">
        <is>
          <t>N/A</t>
        </is>
      </c>
      <c r="E507" t="inlineStr"/>
      <c r="F507" t="inlineStr">
        <is>
          <t>متنوع</t>
        </is>
      </c>
      <c r="G507" t="inlineStr"/>
      <c r="H507" t="inlineStr">
        <is>
          <t>1,000.00</t>
        </is>
      </c>
      <c r="I507" t="inlineStr">
        <is>
          <t>أدوات صحية</t>
        </is>
      </c>
    </row>
    <row r="508">
      <c r="A508">
        <f>IMAGE("https://files.manuscdn.com/user_upload_by_module/session_file/310519663766182518/hMjOtHjphYuRlcuC.png")</f>
        <v/>
      </c>
      <c r="B508" t="inlineStr">
        <is>
          <t>product_page080_item07</t>
        </is>
      </c>
      <c r="C508" t="inlineStr">
        <is>
          <t>Blocko</t>
        </is>
      </c>
      <c r="D508" t="inlineStr">
        <is>
          <t>N/A</t>
        </is>
      </c>
      <c r="E508" t="inlineStr"/>
      <c r="F508" t="inlineStr">
        <is>
          <t>متنوع</t>
        </is>
      </c>
      <c r="G508" t="inlineStr"/>
      <c r="H508" t="inlineStr">
        <is>
          <t>1,000.00</t>
        </is>
      </c>
      <c r="I508" t="inlineStr">
        <is>
          <t>أدوات صحية</t>
        </is>
      </c>
    </row>
    <row r="509">
      <c r="A509">
        <f>IMAGE("https://files.manuscdn.com/user_upload_by_module/session_file/310519663766182518/USmZvPIqLGKcmfUV.png")</f>
        <v/>
      </c>
      <c r="B509" t="inlineStr">
        <is>
          <t>product_page080_item08</t>
        </is>
      </c>
      <c r="C509" t="inlineStr">
        <is>
          <t>Blocko</t>
        </is>
      </c>
      <c r="D509" t="inlineStr">
        <is>
          <t>N/A</t>
        </is>
      </c>
      <c r="E509" t="inlineStr"/>
      <c r="F509" t="inlineStr">
        <is>
          <t>متنوع</t>
        </is>
      </c>
      <c r="G509" t="inlineStr"/>
      <c r="H509" t="inlineStr">
        <is>
          <t>1,000.00</t>
        </is>
      </c>
      <c r="I509" t="inlineStr">
        <is>
          <t>أدوات صحية</t>
        </is>
      </c>
    </row>
    <row r="510">
      <c r="A510">
        <f>IMAGE("https://files.manuscdn.com/user_upload_by_module/session_file/310519663766182518/zCOejdMySeWTpGZa.png")</f>
        <v/>
      </c>
      <c r="B510" t="inlineStr">
        <is>
          <t>product_page080_item09</t>
        </is>
      </c>
      <c r="C510" t="inlineStr">
        <is>
          <t>Blocko</t>
        </is>
      </c>
      <c r="D510" t="inlineStr">
        <is>
          <t>N/A</t>
        </is>
      </c>
      <c r="E510" t="inlineStr"/>
      <c r="F510" t="inlineStr">
        <is>
          <t>متنوع</t>
        </is>
      </c>
      <c r="G510" t="inlineStr"/>
      <c r="H510" t="inlineStr">
        <is>
          <t>1,000.00</t>
        </is>
      </c>
      <c r="I510" t="inlineStr">
        <is>
          <t>أدوات صحية</t>
        </is>
      </c>
    </row>
    <row r="511">
      <c r="A511">
        <f>IMAGE("https://files.manuscdn.com/user_upload_by_module/session_file/310519663766182518/YTtxErbyfknMdKcu.png")</f>
        <v/>
      </c>
      <c r="B511" t="inlineStr">
        <is>
          <t>product_page080_item10</t>
        </is>
      </c>
      <c r="C511" t="inlineStr">
        <is>
          <t>Blocko</t>
        </is>
      </c>
      <c r="D511" t="inlineStr">
        <is>
          <t>N/A</t>
        </is>
      </c>
      <c r="E511" t="inlineStr"/>
      <c r="F511" t="inlineStr">
        <is>
          <t>متنوع</t>
        </is>
      </c>
      <c r="G511" t="inlineStr"/>
      <c r="H511" t="inlineStr">
        <is>
          <t>1,000.00</t>
        </is>
      </c>
      <c r="I511" t="inlineStr">
        <is>
          <t>أدوات صحية</t>
        </is>
      </c>
    </row>
    <row r="512">
      <c r="A512">
        <f>IMAGE("https://files.manuscdn.com/user_upload_by_module/session_file/310519663766182518/IdTocFNxYExofYxC.png")</f>
        <v/>
      </c>
      <c r="B512" t="inlineStr">
        <is>
          <t>product_page080_item11</t>
        </is>
      </c>
      <c r="C512" t="inlineStr">
        <is>
          <t>Blocko</t>
        </is>
      </c>
      <c r="D512" t="inlineStr">
        <is>
          <t>N/A</t>
        </is>
      </c>
      <c r="E512" t="inlineStr"/>
      <c r="F512" t="inlineStr">
        <is>
          <t>متنوع</t>
        </is>
      </c>
      <c r="G512" t="inlineStr"/>
      <c r="H512" t="inlineStr">
        <is>
          <t>1,000.00</t>
        </is>
      </c>
      <c r="I512" t="inlineStr">
        <is>
          <t>أدوات صحية</t>
        </is>
      </c>
    </row>
    <row r="513">
      <c r="A513">
        <f>IMAGE("https://files.manuscdn.com/user_upload_by_module/session_file/310519663766182518/InGbTmexTBVSyPCM.png")</f>
        <v/>
      </c>
      <c r="B513" t="inlineStr">
        <is>
          <t>product_page081_item00</t>
        </is>
      </c>
      <c r="C513" t="inlineStr">
        <is>
          <t>Blocko</t>
        </is>
      </c>
      <c r="D513" t="inlineStr">
        <is>
          <t>N/A</t>
        </is>
      </c>
      <c r="E513" t="inlineStr"/>
      <c r="F513" t="inlineStr">
        <is>
          <t>متنوع</t>
        </is>
      </c>
      <c r="G513" t="inlineStr"/>
      <c r="H513" t="inlineStr">
        <is>
          <t>1,000.00</t>
        </is>
      </c>
      <c r="I513" t="inlineStr">
        <is>
          <t>أدوات صحية</t>
        </is>
      </c>
    </row>
    <row r="514">
      <c r="A514">
        <f>IMAGE("https://files.manuscdn.com/user_upload_by_module/session_file/310519663766182518/RZaWcqeFSoqMFpbD.png")</f>
        <v/>
      </c>
      <c r="B514" t="inlineStr">
        <is>
          <t>product_page081_item01</t>
        </is>
      </c>
      <c r="C514" t="inlineStr">
        <is>
          <t>Blocko</t>
        </is>
      </c>
      <c r="D514" t="inlineStr">
        <is>
          <t>N/A</t>
        </is>
      </c>
      <c r="E514" t="inlineStr"/>
      <c r="F514" t="inlineStr">
        <is>
          <t>متنوع</t>
        </is>
      </c>
      <c r="G514" t="inlineStr"/>
      <c r="H514" t="inlineStr">
        <is>
          <t>1,000.00</t>
        </is>
      </c>
      <c r="I514" t="inlineStr">
        <is>
          <t>أدوات صحية</t>
        </is>
      </c>
    </row>
    <row r="515">
      <c r="A515">
        <f>IMAGE("https://files.manuscdn.com/user_upload_by_module/session_file/310519663766182518/XqhsEwZfBddOoVTg.png")</f>
        <v/>
      </c>
      <c r="B515" t="inlineStr">
        <is>
          <t>product_page081_item02</t>
        </is>
      </c>
      <c r="C515" t="inlineStr">
        <is>
          <t>Blocko</t>
        </is>
      </c>
      <c r="D515" t="inlineStr">
        <is>
          <t>N/A</t>
        </is>
      </c>
      <c r="E515" t="inlineStr"/>
      <c r="F515" t="inlineStr">
        <is>
          <t>متنوع</t>
        </is>
      </c>
      <c r="G515" t="inlineStr"/>
      <c r="H515" t="inlineStr">
        <is>
          <t>1,000.00</t>
        </is>
      </c>
      <c r="I515" t="inlineStr">
        <is>
          <t>أدوات صحية</t>
        </is>
      </c>
    </row>
    <row r="516">
      <c r="A516">
        <f>IMAGE("https://files.manuscdn.com/user_upload_by_module/session_file/310519663766182518/OPnhCbanxQmjgDWX.png")</f>
        <v/>
      </c>
      <c r="B516" t="inlineStr">
        <is>
          <t>product_page081_item03</t>
        </is>
      </c>
      <c r="C516" t="inlineStr">
        <is>
          <t>Blocko</t>
        </is>
      </c>
      <c r="D516" t="inlineStr">
        <is>
          <t>N/A</t>
        </is>
      </c>
      <c r="E516" t="inlineStr"/>
      <c r="F516" t="inlineStr">
        <is>
          <t>متنوع</t>
        </is>
      </c>
      <c r="G516" t="inlineStr"/>
      <c r="H516" t="inlineStr">
        <is>
          <t>1,000.00</t>
        </is>
      </c>
      <c r="I516" t="inlineStr">
        <is>
          <t>أدوات صحية</t>
        </is>
      </c>
    </row>
    <row r="517">
      <c r="A517">
        <f>IMAGE("https://files.manuscdn.com/user_upload_by_module/session_file/310519663766182518/iDlFRTjgfkLOTEuL.png")</f>
        <v/>
      </c>
      <c r="B517" t="inlineStr">
        <is>
          <t>product_page081_item04</t>
        </is>
      </c>
      <c r="C517" t="inlineStr">
        <is>
          <t>Blocko</t>
        </is>
      </c>
      <c r="D517" t="inlineStr">
        <is>
          <t>N/A</t>
        </is>
      </c>
      <c r="E517" t="inlineStr"/>
      <c r="F517" t="inlineStr">
        <is>
          <t>متنوع</t>
        </is>
      </c>
      <c r="G517" t="inlineStr"/>
      <c r="H517" t="inlineStr">
        <is>
          <t>1,000.00</t>
        </is>
      </c>
      <c r="I517" t="inlineStr">
        <is>
          <t>أدوات صحية</t>
        </is>
      </c>
    </row>
    <row r="518">
      <c r="A518">
        <f>IMAGE("https://files.manuscdn.com/user_upload_by_module/session_file/310519663766182518/hWOLkflxYyPcCknG.png")</f>
        <v/>
      </c>
      <c r="B518" t="inlineStr">
        <is>
          <t>product_page081_item05</t>
        </is>
      </c>
      <c r="C518" t="inlineStr">
        <is>
          <t>Blocko</t>
        </is>
      </c>
      <c r="D518" t="inlineStr">
        <is>
          <t>N/A</t>
        </is>
      </c>
      <c r="E518" t="inlineStr"/>
      <c r="F518" t="inlineStr">
        <is>
          <t>متنوع</t>
        </is>
      </c>
      <c r="G518" t="inlineStr"/>
      <c r="H518" t="inlineStr">
        <is>
          <t>1,000.00</t>
        </is>
      </c>
      <c r="I518" t="inlineStr">
        <is>
          <t>أدوات صحية</t>
        </is>
      </c>
    </row>
    <row r="519">
      <c r="A519">
        <f>IMAGE("https://files.manuscdn.com/user_upload_by_module/session_file/310519663766182518/sEYYFmREqqDmyiTm.png")</f>
        <v/>
      </c>
      <c r="B519" t="inlineStr">
        <is>
          <t>product_page082_item00</t>
        </is>
      </c>
      <c r="C519" t="inlineStr">
        <is>
          <t>Blocko</t>
        </is>
      </c>
      <c r="D519" t="inlineStr">
        <is>
          <t>N/A</t>
        </is>
      </c>
      <c r="E519" t="inlineStr"/>
      <c r="F519" t="inlineStr">
        <is>
          <t>متنوع</t>
        </is>
      </c>
      <c r="G519" t="inlineStr"/>
      <c r="H519" t="inlineStr">
        <is>
          <t>1,000.00</t>
        </is>
      </c>
      <c r="I519" t="inlineStr">
        <is>
          <t>أدوات صحية</t>
        </is>
      </c>
    </row>
    <row r="520">
      <c r="A520">
        <f>IMAGE("https://files.manuscdn.com/user_upload_by_module/session_file/310519663766182518/klPeqPlQBHeHLhxJ.png")</f>
        <v/>
      </c>
      <c r="B520" t="inlineStr">
        <is>
          <t>product_page082_item01</t>
        </is>
      </c>
      <c r="C520" t="inlineStr">
        <is>
          <t>Blocko</t>
        </is>
      </c>
      <c r="D520" t="inlineStr">
        <is>
          <t>N/A</t>
        </is>
      </c>
      <c r="E520" t="inlineStr"/>
      <c r="F520" t="inlineStr">
        <is>
          <t>متنوع</t>
        </is>
      </c>
      <c r="G520" t="inlineStr"/>
      <c r="H520" t="inlineStr">
        <is>
          <t>1,000.00</t>
        </is>
      </c>
      <c r="I520" t="inlineStr">
        <is>
          <t>أدوات صحية</t>
        </is>
      </c>
    </row>
    <row r="521">
      <c r="A521">
        <f>IMAGE("https://files.manuscdn.com/user_upload_by_module/session_file/310519663766182518/wJovczypqgharwRc.png")</f>
        <v/>
      </c>
      <c r="B521" t="inlineStr">
        <is>
          <t>product_page082_item02</t>
        </is>
      </c>
      <c r="C521" t="inlineStr">
        <is>
          <t>Blocko</t>
        </is>
      </c>
      <c r="D521" t="inlineStr">
        <is>
          <t>N/A</t>
        </is>
      </c>
      <c r="E521" t="inlineStr"/>
      <c r="F521" t="inlineStr">
        <is>
          <t>متنوع</t>
        </is>
      </c>
      <c r="G521" t="inlineStr"/>
      <c r="H521" t="inlineStr">
        <is>
          <t>1,000.00</t>
        </is>
      </c>
      <c r="I521" t="inlineStr">
        <is>
          <t>أدوات صحية</t>
        </is>
      </c>
    </row>
    <row r="522">
      <c r="A522">
        <f>IMAGE("https://files.manuscdn.com/user_upload_by_module/session_file/310519663766182518/yODAFvNPWCGXnMos.png")</f>
        <v/>
      </c>
      <c r="B522" t="inlineStr">
        <is>
          <t>product_page082_item03</t>
        </is>
      </c>
      <c r="C522" t="inlineStr">
        <is>
          <t>Blocko</t>
        </is>
      </c>
      <c r="D522" t="inlineStr">
        <is>
          <t>N/A</t>
        </is>
      </c>
      <c r="E522" t="inlineStr"/>
      <c r="F522" t="inlineStr">
        <is>
          <t>متنوع</t>
        </is>
      </c>
      <c r="G522" t="inlineStr"/>
      <c r="H522" t="inlineStr">
        <is>
          <t>1,000.00</t>
        </is>
      </c>
      <c r="I522" t="inlineStr">
        <is>
          <t>أدوات صحية</t>
        </is>
      </c>
    </row>
    <row r="523">
      <c r="A523">
        <f>IMAGE("https://files.manuscdn.com/user_upload_by_module/session_file/310519663766182518/OOcvaloHPmaBgWgQ.png")</f>
        <v/>
      </c>
      <c r="B523" t="inlineStr">
        <is>
          <t>product_page082_item04</t>
        </is>
      </c>
      <c r="C523" t="inlineStr">
        <is>
          <t>Blocko</t>
        </is>
      </c>
      <c r="D523" t="inlineStr">
        <is>
          <t>N/A</t>
        </is>
      </c>
      <c r="E523" t="inlineStr"/>
      <c r="F523" t="inlineStr">
        <is>
          <t>متنوع</t>
        </is>
      </c>
      <c r="G523" t="inlineStr"/>
      <c r="H523" t="inlineStr">
        <is>
          <t>1,000.00</t>
        </is>
      </c>
      <c r="I523" t="inlineStr">
        <is>
          <t>أدوات صحية</t>
        </is>
      </c>
    </row>
    <row r="524">
      <c r="A524">
        <f>IMAGE("https://files.manuscdn.com/user_upload_by_module/session_file/310519663766182518/ERHYtlEPgBYnAkzx.png")</f>
        <v/>
      </c>
      <c r="B524" t="inlineStr">
        <is>
          <t>product_page082_item05</t>
        </is>
      </c>
      <c r="C524" t="inlineStr">
        <is>
          <t>Blocko</t>
        </is>
      </c>
      <c r="D524" t="inlineStr">
        <is>
          <t>N/A</t>
        </is>
      </c>
      <c r="E524" t="inlineStr"/>
      <c r="F524" t="inlineStr">
        <is>
          <t>متنوع</t>
        </is>
      </c>
      <c r="G524" t="inlineStr"/>
      <c r="H524" t="inlineStr">
        <is>
          <t>1,000.00</t>
        </is>
      </c>
      <c r="I524" t="inlineStr">
        <is>
          <t>أدوات صحية</t>
        </is>
      </c>
    </row>
    <row r="525">
      <c r="A525">
        <f>IMAGE("https://files.manuscdn.com/user_upload_by_module/session_file/310519663766182518/SByMJhgSJJpDwwBl.png")</f>
        <v/>
      </c>
      <c r="B525" t="inlineStr">
        <is>
          <t>product_page082_item06</t>
        </is>
      </c>
      <c r="C525" t="inlineStr">
        <is>
          <t>Blocko</t>
        </is>
      </c>
      <c r="D525" t="inlineStr">
        <is>
          <t>N/A</t>
        </is>
      </c>
      <c r="E525" t="inlineStr"/>
      <c r="F525" t="inlineStr">
        <is>
          <t>متنوع</t>
        </is>
      </c>
      <c r="G525" t="inlineStr"/>
      <c r="H525" t="inlineStr">
        <is>
          <t>1,000.00</t>
        </is>
      </c>
      <c r="I525" t="inlineStr">
        <is>
          <t>أدوات صحية</t>
        </is>
      </c>
    </row>
    <row r="526">
      <c r="A526">
        <f>IMAGE("https://files.manuscdn.com/user_upload_by_module/session_file/310519663766182518/NkpoYfpiNkuyktkJ.png")</f>
        <v/>
      </c>
      <c r="B526" t="inlineStr">
        <is>
          <t>product_page082_item07</t>
        </is>
      </c>
      <c r="C526" t="inlineStr">
        <is>
          <t>Blocko</t>
        </is>
      </c>
      <c r="D526" t="inlineStr">
        <is>
          <t>N/A</t>
        </is>
      </c>
      <c r="E526" t="inlineStr"/>
      <c r="F526" t="inlineStr">
        <is>
          <t>متنوع</t>
        </is>
      </c>
      <c r="G526" t="inlineStr"/>
      <c r="H526" t="inlineStr">
        <is>
          <t>1,000.00</t>
        </is>
      </c>
      <c r="I526" t="inlineStr">
        <is>
          <t>أدوات صحية</t>
        </is>
      </c>
    </row>
    <row r="527">
      <c r="A527">
        <f>IMAGE("https://files.manuscdn.com/user_upload_by_module/session_file/310519663766182518/HiDWuxthHpUXUepV.png")</f>
        <v/>
      </c>
      <c r="B527" t="inlineStr">
        <is>
          <t>product_page083_item00</t>
        </is>
      </c>
      <c r="C527" t="inlineStr">
        <is>
          <t>Blocko</t>
        </is>
      </c>
      <c r="D527" t="inlineStr">
        <is>
          <t>N/A</t>
        </is>
      </c>
      <c r="E527" t="inlineStr"/>
      <c r="F527" t="inlineStr">
        <is>
          <t>متنوع</t>
        </is>
      </c>
      <c r="G527" t="inlineStr"/>
      <c r="H527" t="inlineStr">
        <is>
          <t>1,000.00</t>
        </is>
      </c>
      <c r="I527" t="inlineStr">
        <is>
          <t>أدوات صحية</t>
        </is>
      </c>
    </row>
    <row r="528">
      <c r="A528">
        <f>IMAGE("https://files.manuscdn.com/user_upload_by_module/session_file/310519663766182518/NydsCfkYQwgbMbif.png")</f>
        <v/>
      </c>
      <c r="B528" t="inlineStr">
        <is>
          <t>product_page083_item01</t>
        </is>
      </c>
      <c r="C528" t="inlineStr">
        <is>
          <t>Blocko</t>
        </is>
      </c>
      <c r="D528" t="inlineStr">
        <is>
          <t>N/A</t>
        </is>
      </c>
      <c r="E528" t="inlineStr"/>
      <c r="F528" t="inlineStr">
        <is>
          <t>متنوع</t>
        </is>
      </c>
      <c r="G528" t="inlineStr"/>
      <c r="H528" t="inlineStr">
        <is>
          <t>1,000.00</t>
        </is>
      </c>
      <c r="I528" t="inlineStr">
        <is>
          <t>أدوات صحية</t>
        </is>
      </c>
    </row>
    <row r="529">
      <c r="A529">
        <f>IMAGE("https://files.manuscdn.com/user_upload_by_module/session_file/310519663766182518/XsVAmdRnxQZeOmFe.png")</f>
        <v/>
      </c>
      <c r="B529" t="inlineStr">
        <is>
          <t>product_page083_item02</t>
        </is>
      </c>
      <c r="C529" t="inlineStr">
        <is>
          <t>Blocko</t>
        </is>
      </c>
      <c r="D529" t="inlineStr">
        <is>
          <t>N/A</t>
        </is>
      </c>
      <c r="E529" t="inlineStr"/>
      <c r="F529" t="inlineStr">
        <is>
          <t>متنوع</t>
        </is>
      </c>
      <c r="G529" t="inlineStr"/>
      <c r="H529" t="inlineStr">
        <is>
          <t>1,000.00</t>
        </is>
      </c>
      <c r="I529" t="inlineStr">
        <is>
          <t>أدوات صحية</t>
        </is>
      </c>
    </row>
    <row r="530">
      <c r="A530">
        <f>IMAGE("https://files.manuscdn.com/user_upload_by_module/session_file/310519663766182518/MUflTyPUWIGPTCbJ.png")</f>
        <v/>
      </c>
      <c r="B530" t="inlineStr">
        <is>
          <t>product_page083_item03</t>
        </is>
      </c>
      <c r="C530" t="inlineStr">
        <is>
          <t>Blocko</t>
        </is>
      </c>
      <c r="D530" t="inlineStr">
        <is>
          <t>N/A</t>
        </is>
      </c>
      <c r="E530" t="inlineStr"/>
      <c r="F530" t="inlineStr">
        <is>
          <t>متنوع</t>
        </is>
      </c>
      <c r="G530" t="inlineStr"/>
      <c r="H530" t="inlineStr">
        <is>
          <t>1,000.00</t>
        </is>
      </c>
      <c r="I530" t="inlineStr">
        <is>
          <t>أدوات صحية</t>
        </is>
      </c>
    </row>
    <row r="531">
      <c r="A531">
        <f>IMAGE("https://files.manuscdn.com/user_upload_by_module/session_file/310519663766182518/kXHNfGmOiyNkNPVz.png")</f>
        <v/>
      </c>
      <c r="B531" t="inlineStr">
        <is>
          <t>product_page084_item00</t>
        </is>
      </c>
      <c r="C531" t="inlineStr">
        <is>
          <t>Blocko</t>
        </is>
      </c>
      <c r="D531" t="inlineStr">
        <is>
          <t>N/A</t>
        </is>
      </c>
      <c r="E531" t="inlineStr"/>
      <c r="F531" t="inlineStr">
        <is>
          <t>متنوع</t>
        </is>
      </c>
      <c r="G531" t="inlineStr"/>
      <c r="H531" t="inlineStr">
        <is>
          <t>1,000.00</t>
        </is>
      </c>
      <c r="I531" t="inlineStr">
        <is>
          <t>أدوات صحية</t>
        </is>
      </c>
    </row>
    <row r="532">
      <c r="A532">
        <f>IMAGE("https://files.manuscdn.com/user_upload_by_module/session_file/310519663766182518/WOMomPCKQKLPxoAm.png")</f>
        <v/>
      </c>
      <c r="B532" t="inlineStr">
        <is>
          <t>product_page084_item01</t>
        </is>
      </c>
      <c r="C532" t="inlineStr">
        <is>
          <t>Blocko</t>
        </is>
      </c>
      <c r="D532" t="inlineStr">
        <is>
          <t>N/A</t>
        </is>
      </c>
      <c r="E532" t="inlineStr"/>
      <c r="F532" t="inlineStr">
        <is>
          <t>متنوع</t>
        </is>
      </c>
      <c r="G532" t="inlineStr"/>
      <c r="H532" t="inlineStr">
        <is>
          <t>1,000.00</t>
        </is>
      </c>
      <c r="I532" t="inlineStr">
        <is>
          <t>أدوات صحية</t>
        </is>
      </c>
    </row>
    <row r="533">
      <c r="A533">
        <f>IMAGE("https://files.manuscdn.com/user_upload_by_module/session_file/310519663766182518/CIAsUWLTCEypMTIY.png")</f>
        <v/>
      </c>
      <c r="B533" t="inlineStr">
        <is>
          <t>product_page084_item02</t>
        </is>
      </c>
      <c r="C533" t="inlineStr">
        <is>
          <t>Blocko</t>
        </is>
      </c>
      <c r="D533" t="inlineStr">
        <is>
          <t>N/A</t>
        </is>
      </c>
      <c r="E533" t="inlineStr"/>
      <c r="F533" t="inlineStr">
        <is>
          <t>متنوع</t>
        </is>
      </c>
      <c r="G533" t="inlineStr"/>
      <c r="H533" t="inlineStr">
        <is>
          <t>1,000.00</t>
        </is>
      </c>
      <c r="I533" t="inlineStr">
        <is>
          <t>أدوات صحية</t>
        </is>
      </c>
    </row>
    <row r="534">
      <c r="A534">
        <f>IMAGE("https://files.manuscdn.com/user_upload_by_module/session_file/310519663766182518/ChItVgBWOmObsVDm.png")</f>
        <v/>
      </c>
      <c r="B534" t="inlineStr">
        <is>
          <t>product_page084_item03</t>
        </is>
      </c>
      <c r="C534" t="inlineStr">
        <is>
          <t>Blocko</t>
        </is>
      </c>
      <c r="D534" t="inlineStr">
        <is>
          <t>N/A</t>
        </is>
      </c>
      <c r="E534" t="inlineStr"/>
      <c r="F534" t="inlineStr">
        <is>
          <t>متنوع</t>
        </is>
      </c>
      <c r="G534" t="inlineStr"/>
      <c r="H534" t="inlineStr">
        <is>
          <t>1,000.00</t>
        </is>
      </c>
      <c r="I534" t="inlineStr">
        <is>
          <t>أدوات صحية</t>
        </is>
      </c>
    </row>
    <row r="535">
      <c r="A535">
        <f>IMAGE("https://files.manuscdn.com/user_upload_by_module/session_file/310519663766182518/UMSfzCAEDdLmSytD.png")</f>
        <v/>
      </c>
      <c r="B535" t="inlineStr">
        <is>
          <t>product_page084_item04</t>
        </is>
      </c>
      <c r="C535" t="inlineStr">
        <is>
          <t>Blocko</t>
        </is>
      </c>
      <c r="D535" t="inlineStr">
        <is>
          <t>N/A</t>
        </is>
      </c>
      <c r="E535" t="inlineStr"/>
      <c r="F535" t="inlineStr">
        <is>
          <t>متنوع</t>
        </is>
      </c>
      <c r="G535" t="inlineStr"/>
      <c r="H535" t="inlineStr">
        <is>
          <t>1,000.00</t>
        </is>
      </c>
      <c r="I535" t="inlineStr">
        <is>
          <t>أدوات صحية</t>
        </is>
      </c>
    </row>
    <row r="536">
      <c r="A536">
        <f>IMAGE("https://files.manuscdn.com/user_upload_by_module/session_file/310519663766182518/gVntZSgbeIFIpGvu.png")</f>
        <v/>
      </c>
      <c r="B536" t="inlineStr">
        <is>
          <t>product_page084_item05</t>
        </is>
      </c>
      <c r="C536" t="inlineStr">
        <is>
          <t>Blocko</t>
        </is>
      </c>
      <c r="D536" t="inlineStr">
        <is>
          <t>N/A</t>
        </is>
      </c>
      <c r="E536" t="inlineStr"/>
      <c r="F536" t="inlineStr">
        <is>
          <t>متنوع</t>
        </is>
      </c>
      <c r="G536" t="inlineStr"/>
      <c r="H536" t="inlineStr">
        <is>
          <t>1,000.00</t>
        </is>
      </c>
      <c r="I536" t="inlineStr">
        <is>
          <t>أدوات صحية</t>
        </is>
      </c>
    </row>
    <row r="537">
      <c r="A537">
        <f>IMAGE("https://files.manuscdn.com/user_upload_by_module/session_file/310519663766182518/NxnoBMIqRkjanDMu.png")</f>
        <v/>
      </c>
      <c r="B537" t="inlineStr">
        <is>
          <t>product_page085_item00</t>
        </is>
      </c>
      <c r="C537" t="inlineStr">
        <is>
          <t>Blocko</t>
        </is>
      </c>
      <c r="D537" t="inlineStr">
        <is>
          <t>N/A</t>
        </is>
      </c>
      <c r="E537" t="inlineStr"/>
      <c r="F537" t="inlineStr">
        <is>
          <t>متنوع</t>
        </is>
      </c>
      <c r="G537" t="inlineStr"/>
      <c r="H537" t="inlineStr">
        <is>
          <t>1,000.00</t>
        </is>
      </c>
      <c r="I537" t="inlineStr">
        <is>
          <t>أدوات صحية</t>
        </is>
      </c>
    </row>
    <row r="538">
      <c r="A538">
        <f>IMAGE("https://files.manuscdn.com/user_upload_by_module/session_file/310519663766182518/IgOPNSjkHNSTcdAC.png")</f>
        <v/>
      </c>
      <c r="B538" t="inlineStr">
        <is>
          <t>product_page085_item01</t>
        </is>
      </c>
      <c r="C538" t="inlineStr">
        <is>
          <t>Blocko</t>
        </is>
      </c>
      <c r="D538" t="inlineStr">
        <is>
          <t>N/A</t>
        </is>
      </c>
      <c r="E538" t="inlineStr"/>
      <c r="F538" t="inlineStr">
        <is>
          <t>متنوع</t>
        </is>
      </c>
      <c r="G538" t="inlineStr"/>
      <c r="H538" t="inlineStr">
        <is>
          <t>1,000.00</t>
        </is>
      </c>
      <c r="I538" t="inlineStr">
        <is>
          <t>أدوات صحية</t>
        </is>
      </c>
    </row>
    <row r="539">
      <c r="A539">
        <f>IMAGE("https://files.manuscdn.com/user_upload_by_module/session_file/310519663766182518/mZvJzNffGvIZqblT.png")</f>
        <v/>
      </c>
      <c r="B539" t="inlineStr">
        <is>
          <t>product_page085_item02</t>
        </is>
      </c>
      <c r="C539" t="inlineStr">
        <is>
          <t>Blocko</t>
        </is>
      </c>
      <c r="D539" t="inlineStr">
        <is>
          <t>N/A</t>
        </is>
      </c>
      <c r="E539" t="inlineStr"/>
      <c r="F539" t="inlineStr">
        <is>
          <t>متنوع</t>
        </is>
      </c>
      <c r="G539" t="inlineStr"/>
      <c r="H539" t="inlineStr">
        <is>
          <t>1,000.00</t>
        </is>
      </c>
      <c r="I539" t="inlineStr">
        <is>
          <t>أدوات صحية</t>
        </is>
      </c>
    </row>
    <row r="540">
      <c r="A540">
        <f>IMAGE("https://files.manuscdn.com/user_upload_by_module/session_file/310519663766182518/peWNtAyFrXvMDiog.png")</f>
        <v/>
      </c>
      <c r="B540" t="inlineStr">
        <is>
          <t>product_page085_item03</t>
        </is>
      </c>
      <c r="C540" t="inlineStr">
        <is>
          <t>Blocko</t>
        </is>
      </c>
      <c r="D540" t="inlineStr">
        <is>
          <t>N/A</t>
        </is>
      </c>
      <c r="E540" t="inlineStr"/>
      <c r="F540" t="inlineStr">
        <is>
          <t>متنوع</t>
        </is>
      </c>
      <c r="G540" t="inlineStr"/>
      <c r="H540" t="inlineStr">
        <is>
          <t>1,000.00</t>
        </is>
      </c>
      <c r="I540" t="inlineStr">
        <is>
          <t>أدوات صحية</t>
        </is>
      </c>
    </row>
    <row r="541">
      <c r="A541">
        <f>IMAGE("https://files.manuscdn.com/user_upload_by_module/session_file/310519663766182518/bHUJdVXMyHRsPHbH.png")</f>
        <v/>
      </c>
      <c r="B541" t="inlineStr">
        <is>
          <t>product_page085_item04</t>
        </is>
      </c>
      <c r="C541" t="inlineStr">
        <is>
          <t>Blocko</t>
        </is>
      </c>
      <c r="D541" t="inlineStr">
        <is>
          <t>N/A</t>
        </is>
      </c>
      <c r="E541" t="inlineStr"/>
      <c r="F541" t="inlineStr">
        <is>
          <t>متنوع</t>
        </is>
      </c>
      <c r="G541" t="inlineStr"/>
      <c r="H541" t="inlineStr">
        <is>
          <t>1,000.00</t>
        </is>
      </c>
      <c r="I541" t="inlineStr">
        <is>
          <t>أدوات صحية</t>
        </is>
      </c>
    </row>
    <row r="542">
      <c r="A542">
        <f>IMAGE("https://files.manuscdn.com/user_upload_by_module/session_file/310519663766182518/mOEWIzQxIwrkcnwi.png")</f>
        <v/>
      </c>
      <c r="B542" t="inlineStr">
        <is>
          <t>product_page085_item05</t>
        </is>
      </c>
      <c r="C542" t="inlineStr">
        <is>
          <t>Blocko</t>
        </is>
      </c>
      <c r="D542" t="inlineStr">
        <is>
          <t>N/A</t>
        </is>
      </c>
      <c r="E542" t="inlineStr"/>
      <c r="F542" t="inlineStr">
        <is>
          <t>متنوع</t>
        </is>
      </c>
      <c r="G542" t="inlineStr"/>
      <c r="H542" t="inlineStr">
        <is>
          <t>1,000.00</t>
        </is>
      </c>
      <c r="I542" t="inlineStr">
        <is>
          <t>أدوات صحية</t>
        </is>
      </c>
    </row>
    <row r="543">
      <c r="A543">
        <f>IMAGE("https://files.manuscdn.com/user_upload_by_module/session_file/310519663766182518/tlrhJMQPYgLFdwil.png")</f>
        <v/>
      </c>
      <c r="B543" t="inlineStr">
        <is>
          <t>product_page086_item00</t>
        </is>
      </c>
      <c r="C543" t="inlineStr">
        <is>
          <t>Blocko</t>
        </is>
      </c>
      <c r="D543" t="inlineStr">
        <is>
          <t>N/A</t>
        </is>
      </c>
      <c r="E543" t="inlineStr"/>
      <c r="F543" t="inlineStr">
        <is>
          <t>متنوع</t>
        </is>
      </c>
      <c r="G543" t="inlineStr"/>
      <c r="H543" t="inlineStr">
        <is>
          <t>1,000.00</t>
        </is>
      </c>
      <c r="I543" t="inlineStr">
        <is>
          <t>أدوات صحية</t>
        </is>
      </c>
    </row>
    <row r="544">
      <c r="A544">
        <f>IMAGE("https://files.manuscdn.com/user_upload_by_module/session_file/310519663766182518/VoaCiqntSjqJWyjH.png")</f>
        <v/>
      </c>
      <c r="B544" t="inlineStr">
        <is>
          <t>product_page086_item01</t>
        </is>
      </c>
      <c r="C544" t="inlineStr">
        <is>
          <t>Blocko</t>
        </is>
      </c>
      <c r="D544" t="inlineStr">
        <is>
          <t>N/A</t>
        </is>
      </c>
      <c r="E544" t="inlineStr"/>
      <c r="F544" t="inlineStr">
        <is>
          <t>متنوع</t>
        </is>
      </c>
      <c r="G544" t="inlineStr"/>
      <c r="H544" t="inlineStr">
        <is>
          <t>1,000.00</t>
        </is>
      </c>
      <c r="I544" t="inlineStr">
        <is>
          <t>أدوات صحية</t>
        </is>
      </c>
    </row>
    <row r="545">
      <c r="A545">
        <f>IMAGE("https://files.manuscdn.com/user_upload_by_module/session_file/310519663766182518/TWkZGRoQUJwqXFMW.png")</f>
        <v/>
      </c>
      <c r="B545" t="inlineStr">
        <is>
          <t>product_page086_item02</t>
        </is>
      </c>
      <c r="C545" t="inlineStr">
        <is>
          <t>Blocko</t>
        </is>
      </c>
      <c r="D545" t="inlineStr">
        <is>
          <t>N/A</t>
        </is>
      </c>
      <c r="E545" t="inlineStr"/>
      <c r="F545" t="inlineStr">
        <is>
          <t>متنوع</t>
        </is>
      </c>
      <c r="G545" t="inlineStr"/>
      <c r="H545" t="inlineStr">
        <is>
          <t>1,000.00</t>
        </is>
      </c>
      <c r="I545" t="inlineStr">
        <is>
          <t>أدوات صحية</t>
        </is>
      </c>
    </row>
    <row r="546">
      <c r="A546">
        <f>IMAGE("https://files.manuscdn.com/user_upload_by_module/session_file/310519663766182518/QXqVVZzGkzYiroeU.png")</f>
        <v/>
      </c>
      <c r="B546" t="inlineStr">
        <is>
          <t>product_page086_item03</t>
        </is>
      </c>
      <c r="C546" t="inlineStr">
        <is>
          <t>Blocko</t>
        </is>
      </c>
      <c r="D546" t="inlineStr">
        <is>
          <t>N/A</t>
        </is>
      </c>
      <c r="E546" t="inlineStr"/>
      <c r="F546" t="inlineStr">
        <is>
          <t>متنوع</t>
        </is>
      </c>
      <c r="G546" t="inlineStr"/>
      <c r="H546" t="inlineStr">
        <is>
          <t>1,000.00</t>
        </is>
      </c>
      <c r="I546" t="inlineStr">
        <is>
          <t>أدوات صحية</t>
        </is>
      </c>
    </row>
    <row r="547">
      <c r="A547">
        <f>IMAGE("https://files.manuscdn.com/user_upload_by_module/session_file/310519663766182518/AwrrMYDLXLBmyDhi.png")</f>
        <v/>
      </c>
      <c r="B547" t="inlineStr">
        <is>
          <t>product_page087_item00</t>
        </is>
      </c>
      <c r="C547" t="inlineStr">
        <is>
          <t>Blocko</t>
        </is>
      </c>
      <c r="D547" t="inlineStr">
        <is>
          <t>N/A</t>
        </is>
      </c>
      <c r="E547" t="inlineStr"/>
      <c r="F547" t="inlineStr">
        <is>
          <t>متنوع</t>
        </is>
      </c>
      <c r="G547" t="inlineStr"/>
      <c r="H547" t="inlineStr">
        <is>
          <t>1,000.00</t>
        </is>
      </c>
      <c r="I547" t="inlineStr">
        <is>
          <t>أدوات صحية</t>
        </is>
      </c>
    </row>
    <row r="548">
      <c r="A548">
        <f>IMAGE("https://files.manuscdn.com/user_upload_by_module/session_file/310519663766182518/yzMAUUVyCiwvxCBv.png")</f>
        <v/>
      </c>
      <c r="B548" t="inlineStr">
        <is>
          <t>product_page087_item01</t>
        </is>
      </c>
      <c r="C548" t="inlineStr">
        <is>
          <t>Blocko</t>
        </is>
      </c>
      <c r="D548" t="inlineStr">
        <is>
          <t>N/A</t>
        </is>
      </c>
      <c r="E548" t="inlineStr"/>
      <c r="F548" t="inlineStr">
        <is>
          <t>متنوع</t>
        </is>
      </c>
      <c r="G548" t="inlineStr"/>
      <c r="H548" t="inlineStr">
        <is>
          <t>1,000.00</t>
        </is>
      </c>
      <c r="I548" t="inlineStr">
        <is>
          <t>أدوات صحية</t>
        </is>
      </c>
    </row>
    <row r="549">
      <c r="A549">
        <f>IMAGE("https://files.manuscdn.com/user_upload_by_module/session_file/310519663766182518/AHIRJDlBXQgDJPwh.png")</f>
        <v/>
      </c>
      <c r="B549" t="inlineStr">
        <is>
          <t>product_page087_item02</t>
        </is>
      </c>
      <c r="C549" t="inlineStr">
        <is>
          <t>Blocko</t>
        </is>
      </c>
      <c r="D549" t="inlineStr">
        <is>
          <t>N/A</t>
        </is>
      </c>
      <c r="E549" t="inlineStr"/>
      <c r="F549" t="inlineStr">
        <is>
          <t>متنوع</t>
        </is>
      </c>
      <c r="G549" t="inlineStr"/>
      <c r="H549" t="inlineStr">
        <is>
          <t>1,000.00</t>
        </is>
      </c>
      <c r="I549" t="inlineStr">
        <is>
          <t>أدوات صحية</t>
        </is>
      </c>
    </row>
    <row r="550">
      <c r="A550">
        <f>IMAGE("https://files.manuscdn.com/user_upload_by_module/session_file/310519663766182518/FHnLTyKDxEDdQRGf.png")</f>
        <v/>
      </c>
      <c r="B550" t="inlineStr">
        <is>
          <t>product_page087_item03</t>
        </is>
      </c>
      <c r="C550" t="inlineStr">
        <is>
          <t>Blocko</t>
        </is>
      </c>
      <c r="D550" t="inlineStr">
        <is>
          <t>N/A</t>
        </is>
      </c>
      <c r="E550" t="inlineStr"/>
      <c r="F550" t="inlineStr">
        <is>
          <t>متنوع</t>
        </is>
      </c>
      <c r="G550" t="inlineStr"/>
      <c r="H550" t="inlineStr">
        <is>
          <t>1,000.00</t>
        </is>
      </c>
      <c r="I550" t="inlineStr">
        <is>
          <t>أدوات صحية</t>
        </is>
      </c>
    </row>
    <row r="551">
      <c r="A551">
        <f>IMAGE("https://files.manuscdn.com/user_upload_by_module/session_file/310519663766182518/GQrrXlGvCdIeqHxx.png")</f>
        <v/>
      </c>
      <c r="B551" t="inlineStr">
        <is>
          <t>product_page088_item00</t>
        </is>
      </c>
      <c r="C551" t="inlineStr">
        <is>
          <t>Blocko</t>
        </is>
      </c>
      <c r="D551" t="inlineStr">
        <is>
          <t>N/A</t>
        </is>
      </c>
      <c r="E551" t="inlineStr"/>
      <c r="F551" t="inlineStr">
        <is>
          <t>متنوع</t>
        </is>
      </c>
      <c r="G551" t="inlineStr"/>
      <c r="H551" t="inlineStr">
        <is>
          <t>1,000.00</t>
        </is>
      </c>
      <c r="I551" t="inlineStr">
        <is>
          <t>أدوات صحية</t>
        </is>
      </c>
    </row>
    <row r="552">
      <c r="A552">
        <f>IMAGE("https://files.manuscdn.com/user_upload_by_module/session_file/310519663766182518/kdNHXpKaAlXdFAdB.png")</f>
        <v/>
      </c>
      <c r="B552" t="inlineStr">
        <is>
          <t>product_page088_item01</t>
        </is>
      </c>
      <c r="C552" t="inlineStr">
        <is>
          <t>Blocko</t>
        </is>
      </c>
      <c r="D552" t="inlineStr">
        <is>
          <t>N/A</t>
        </is>
      </c>
      <c r="E552" t="inlineStr"/>
      <c r="F552" t="inlineStr">
        <is>
          <t>متنوع</t>
        </is>
      </c>
      <c r="G552" t="inlineStr"/>
      <c r="H552" t="inlineStr">
        <is>
          <t>1,000.00</t>
        </is>
      </c>
      <c r="I552" t="inlineStr">
        <is>
          <t>أدوات صحية</t>
        </is>
      </c>
    </row>
    <row r="553">
      <c r="A553">
        <f>IMAGE("https://files.manuscdn.com/user_upload_by_module/session_file/310519663766182518/RNcmbWfkNurxFdGY.png")</f>
        <v/>
      </c>
      <c r="B553" t="inlineStr">
        <is>
          <t>product_page088_item02</t>
        </is>
      </c>
      <c r="C553" t="inlineStr">
        <is>
          <t>Blocko</t>
        </is>
      </c>
      <c r="D553" t="inlineStr">
        <is>
          <t>N/A</t>
        </is>
      </c>
      <c r="E553" t="inlineStr"/>
      <c r="F553" t="inlineStr">
        <is>
          <t>متنوع</t>
        </is>
      </c>
      <c r="G553" t="inlineStr"/>
      <c r="H553" t="inlineStr">
        <is>
          <t>1,000.00</t>
        </is>
      </c>
      <c r="I553" t="inlineStr">
        <is>
          <t>أدوات صحية</t>
        </is>
      </c>
    </row>
    <row r="554">
      <c r="A554">
        <f>IMAGE("https://files.manuscdn.com/user_upload_by_module/session_file/310519663766182518/WtAutoQvHUlFgvYq.png")</f>
        <v/>
      </c>
      <c r="B554" t="inlineStr">
        <is>
          <t>product_page088_item03</t>
        </is>
      </c>
      <c r="C554" t="inlineStr">
        <is>
          <t>Blocko</t>
        </is>
      </c>
      <c r="D554" t="inlineStr">
        <is>
          <t>N/A</t>
        </is>
      </c>
      <c r="E554" t="inlineStr"/>
      <c r="F554" t="inlineStr">
        <is>
          <t>متنوع</t>
        </is>
      </c>
      <c r="G554" t="inlineStr"/>
      <c r="H554" t="inlineStr">
        <is>
          <t>1,000.00</t>
        </is>
      </c>
      <c r="I554" t="inlineStr">
        <is>
          <t>أدوات صحية</t>
        </is>
      </c>
    </row>
    <row r="555">
      <c r="A555">
        <f>IMAGE("https://files.manuscdn.com/user_upload_by_module/session_file/310519663766182518/LsCqTvDQLzUUMLFI.png")</f>
        <v/>
      </c>
      <c r="B555" t="inlineStr">
        <is>
          <t>product_page088_item04</t>
        </is>
      </c>
      <c r="C555" t="inlineStr">
        <is>
          <t>Blocko</t>
        </is>
      </c>
      <c r="D555" t="inlineStr">
        <is>
          <t>N/A</t>
        </is>
      </c>
      <c r="E555" t="inlineStr"/>
      <c r="F555" t="inlineStr">
        <is>
          <t>متنوع</t>
        </is>
      </c>
      <c r="G555" t="inlineStr"/>
      <c r="H555" t="inlineStr">
        <is>
          <t>1,000.00</t>
        </is>
      </c>
      <c r="I555" t="inlineStr">
        <is>
          <t>أدوات صحية</t>
        </is>
      </c>
    </row>
    <row r="556">
      <c r="A556">
        <f>IMAGE("https://files.manuscdn.com/user_upload_by_module/session_file/310519663766182518/gSfqoYoLOHJiYTYv.png")</f>
        <v/>
      </c>
      <c r="B556" t="inlineStr">
        <is>
          <t>product_page088_item05</t>
        </is>
      </c>
      <c r="C556" t="inlineStr">
        <is>
          <t>Blocko</t>
        </is>
      </c>
      <c r="D556" t="inlineStr">
        <is>
          <t>N/A</t>
        </is>
      </c>
      <c r="E556" t="inlineStr"/>
      <c r="F556" t="inlineStr">
        <is>
          <t>متنوع</t>
        </is>
      </c>
      <c r="G556" t="inlineStr"/>
      <c r="H556" t="inlineStr">
        <is>
          <t>1,000.00</t>
        </is>
      </c>
      <c r="I556" t="inlineStr">
        <is>
          <t>أدوات صحية</t>
        </is>
      </c>
    </row>
    <row r="557">
      <c r="A557">
        <f>IMAGE("https://files.manuscdn.com/user_upload_by_module/session_file/310519663766182518/HeiIHFyIJDRIgWxA.png")</f>
        <v/>
      </c>
      <c r="B557" t="inlineStr">
        <is>
          <t>product_page088_item06</t>
        </is>
      </c>
      <c r="C557" t="inlineStr">
        <is>
          <t>Blocko</t>
        </is>
      </c>
      <c r="D557" t="inlineStr">
        <is>
          <t>N/A</t>
        </is>
      </c>
      <c r="E557" t="inlineStr"/>
      <c r="F557" t="inlineStr">
        <is>
          <t>متنوع</t>
        </is>
      </c>
      <c r="G557" t="inlineStr"/>
      <c r="H557" t="inlineStr">
        <is>
          <t>1,000.00</t>
        </is>
      </c>
      <c r="I557" t="inlineStr">
        <is>
          <t>أدوات صحية</t>
        </is>
      </c>
    </row>
    <row r="558">
      <c r="A558">
        <f>IMAGE("https://files.manuscdn.com/user_upload_by_module/session_file/310519663766182518/eaGbrjESlzNEhEoW.png")</f>
        <v/>
      </c>
      <c r="B558" t="inlineStr">
        <is>
          <t>product_page088_item07</t>
        </is>
      </c>
      <c r="C558" t="inlineStr">
        <is>
          <t>Blocko</t>
        </is>
      </c>
      <c r="D558" t="inlineStr">
        <is>
          <t>N/A</t>
        </is>
      </c>
      <c r="E558" t="inlineStr"/>
      <c r="F558" t="inlineStr">
        <is>
          <t>متنوع</t>
        </is>
      </c>
      <c r="G558" t="inlineStr"/>
      <c r="H558" t="inlineStr">
        <is>
          <t>1,000.00</t>
        </is>
      </c>
      <c r="I558" t="inlineStr">
        <is>
          <t>أدوات صحية</t>
        </is>
      </c>
    </row>
    <row r="559">
      <c r="A559">
        <f>IMAGE("https://files.manuscdn.com/user_upload_by_module/session_file/310519663766182518/hsfnjOPGGDxQVOOA.png")</f>
        <v/>
      </c>
      <c r="B559" t="inlineStr">
        <is>
          <t>product_page088_item08</t>
        </is>
      </c>
      <c r="C559" t="inlineStr">
        <is>
          <t>Blocko</t>
        </is>
      </c>
      <c r="D559" t="inlineStr">
        <is>
          <t>N/A</t>
        </is>
      </c>
      <c r="E559" t="inlineStr"/>
      <c r="F559" t="inlineStr">
        <is>
          <t>متنوع</t>
        </is>
      </c>
      <c r="G559" t="inlineStr"/>
      <c r="H559" t="inlineStr">
        <is>
          <t>1,000.00</t>
        </is>
      </c>
      <c r="I559" t="inlineStr">
        <is>
          <t>أدوات صحية</t>
        </is>
      </c>
    </row>
    <row r="560">
      <c r="A560">
        <f>IMAGE("https://files.manuscdn.com/user_upload_by_module/session_file/310519663766182518/smTjnLYzqJiIJOUB.png")</f>
        <v/>
      </c>
      <c r="B560" t="inlineStr">
        <is>
          <t>product_page089_item00</t>
        </is>
      </c>
      <c r="C560" t="inlineStr">
        <is>
          <t>Blocko</t>
        </is>
      </c>
      <c r="D560" t="inlineStr">
        <is>
          <t>N/A</t>
        </is>
      </c>
      <c r="E560" t="inlineStr"/>
      <c r="F560" t="inlineStr">
        <is>
          <t>متنوع</t>
        </is>
      </c>
      <c r="G560" t="inlineStr"/>
      <c r="H560" t="inlineStr">
        <is>
          <t>1,000.00</t>
        </is>
      </c>
      <c r="I560" t="inlineStr">
        <is>
          <t>أدوات صحية</t>
        </is>
      </c>
    </row>
    <row r="561">
      <c r="A561">
        <f>IMAGE("https://files.manuscdn.com/user_upload_by_module/session_file/310519663766182518/mnzoDHGJOxjGNFsS.png")</f>
        <v/>
      </c>
      <c r="B561" t="inlineStr">
        <is>
          <t>product_page089_item01</t>
        </is>
      </c>
      <c r="C561" t="inlineStr">
        <is>
          <t>Blocko</t>
        </is>
      </c>
      <c r="D561" t="inlineStr">
        <is>
          <t>N/A</t>
        </is>
      </c>
      <c r="E561" t="inlineStr"/>
      <c r="F561" t="inlineStr">
        <is>
          <t>متنوع</t>
        </is>
      </c>
      <c r="G561" t="inlineStr"/>
      <c r="H561" t="inlineStr">
        <is>
          <t>1,000.00</t>
        </is>
      </c>
      <c r="I561" t="inlineStr">
        <is>
          <t>أدوات صحية</t>
        </is>
      </c>
    </row>
    <row r="562">
      <c r="A562">
        <f>IMAGE("https://files.manuscdn.com/user_upload_by_module/session_file/310519663766182518/YOfOILiYModnneiR.png")</f>
        <v/>
      </c>
      <c r="B562" t="inlineStr">
        <is>
          <t>product_page089_item02</t>
        </is>
      </c>
      <c r="C562" t="inlineStr">
        <is>
          <t>Blocko</t>
        </is>
      </c>
      <c r="D562" t="inlineStr">
        <is>
          <t>N/A</t>
        </is>
      </c>
      <c r="E562" t="inlineStr"/>
      <c r="F562" t="inlineStr">
        <is>
          <t>متنوع</t>
        </is>
      </c>
      <c r="G562" t="inlineStr"/>
      <c r="H562" t="inlineStr">
        <is>
          <t>1,000.00</t>
        </is>
      </c>
      <c r="I562" t="inlineStr">
        <is>
          <t>أدوات صحية</t>
        </is>
      </c>
    </row>
    <row r="563">
      <c r="A563">
        <f>IMAGE("https://files.manuscdn.com/user_upload_by_module/session_file/310519663766182518/SKUCnmsoEYeXBEcR.png")</f>
        <v/>
      </c>
      <c r="B563" t="inlineStr">
        <is>
          <t>product_page089_item03</t>
        </is>
      </c>
      <c r="C563" t="inlineStr">
        <is>
          <t>Blocko</t>
        </is>
      </c>
      <c r="D563" t="inlineStr">
        <is>
          <t>N/A</t>
        </is>
      </c>
      <c r="E563" t="inlineStr"/>
      <c r="F563" t="inlineStr">
        <is>
          <t>متنوع</t>
        </is>
      </c>
      <c r="G563" t="inlineStr"/>
      <c r="H563" t="inlineStr">
        <is>
          <t>1,000.00</t>
        </is>
      </c>
      <c r="I563" t="inlineStr">
        <is>
          <t>أدوات صحية</t>
        </is>
      </c>
    </row>
    <row r="564">
      <c r="A564">
        <f>IMAGE("https://files.manuscdn.com/user_upload_by_module/session_file/310519663766182518/LUvweYHYSIopMGNo.png")</f>
        <v/>
      </c>
      <c r="B564" t="inlineStr">
        <is>
          <t>product_page089_item04</t>
        </is>
      </c>
      <c r="C564" t="inlineStr">
        <is>
          <t>Blocko</t>
        </is>
      </c>
      <c r="D564" t="inlineStr">
        <is>
          <t>N/A</t>
        </is>
      </c>
      <c r="E564" t="inlineStr"/>
      <c r="F564" t="inlineStr">
        <is>
          <t>متنوع</t>
        </is>
      </c>
      <c r="G564" t="inlineStr"/>
      <c r="H564" t="inlineStr">
        <is>
          <t>1,000.00</t>
        </is>
      </c>
      <c r="I564" t="inlineStr">
        <is>
          <t>أدوات صحية</t>
        </is>
      </c>
    </row>
    <row r="565">
      <c r="A565">
        <f>IMAGE("https://files.manuscdn.com/user_upload_by_module/session_file/310519663766182518/FmUmaRZpreEOsUrY.png")</f>
        <v/>
      </c>
      <c r="B565" t="inlineStr">
        <is>
          <t>product_page089_item05</t>
        </is>
      </c>
      <c r="C565" t="inlineStr">
        <is>
          <t>Blocko</t>
        </is>
      </c>
      <c r="D565" t="inlineStr">
        <is>
          <t>N/A</t>
        </is>
      </c>
      <c r="E565" t="inlineStr"/>
      <c r="F565" t="inlineStr">
        <is>
          <t>متنوع</t>
        </is>
      </c>
      <c r="G565" t="inlineStr"/>
      <c r="H565" t="inlineStr">
        <is>
          <t>1,000.00</t>
        </is>
      </c>
      <c r="I565" t="inlineStr">
        <is>
          <t>أدوات صحية</t>
        </is>
      </c>
    </row>
    <row r="566">
      <c r="A566">
        <f>IMAGE("https://files.manuscdn.com/user_upload_by_module/session_file/310519663766182518/cnsVHwmEHmUFkjrP.png")</f>
        <v/>
      </c>
      <c r="B566" t="inlineStr">
        <is>
          <t>product_page089_item06</t>
        </is>
      </c>
      <c r="C566" t="inlineStr">
        <is>
          <t>Blocko</t>
        </is>
      </c>
      <c r="D566" t="inlineStr">
        <is>
          <t>N/A</t>
        </is>
      </c>
      <c r="E566" t="inlineStr"/>
      <c r="F566" t="inlineStr">
        <is>
          <t>متنوع</t>
        </is>
      </c>
      <c r="G566" t="inlineStr"/>
      <c r="H566" t="inlineStr">
        <is>
          <t>1,000.00</t>
        </is>
      </c>
      <c r="I566" t="inlineStr">
        <is>
          <t>أدوات صحية</t>
        </is>
      </c>
    </row>
    <row r="567">
      <c r="A567">
        <f>IMAGE("https://files.manuscdn.com/user_upload_by_module/session_file/310519663766182518/AfzIIytWAHZGPPOK.png")</f>
        <v/>
      </c>
      <c r="B567" t="inlineStr">
        <is>
          <t>product_page089_item07</t>
        </is>
      </c>
      <c r="C567" t="inlineStr">
        <is>
          <t>Blocko</t>
        </is>
      </c>
      <c r="D567" t="inlineStr">
        <is>
          <t>N/A</t>
        </is>
      </c>
      <c r="E567" t="inlineStr"/>
      <c r="F567" t="inlineStr">
        <is>
          <t>متنوع</t>
        </is>
      </c>
      <c r="G567" t="inlineStr"/>
      <c r="H567" t="inlineStr">
        <is>
          <t>1,000.00</t>
        </is>
      </c>
      <c r="I567" t="inlineStr">
        <is>
          <t>أدوات صحية</t>
        </is>
      </c>
    </row>
    <row r="568">
      <c r="A568">
        <f>IMAGE("https://files.manuscdn.com/user_upload_by_module/session_file/310519663766182518/LnzYOPmVciLpgrhY.png")</f>
        <v/>
      </c>
      <c r="B568" t="inlineStr">
        <is>
          <t>product_page089_item08</t>
        </is>
      </c>
      <c r="C568" t="inlineStr">
        <is>
          <t>Blocko</t>
        </is>
      </c>
      <c r="D568" t="inlineStr">
        <is>
          <t>N/A</t>
        </is>
      </c>
      <c r="E568" t="inlineStr"/>
      <c r="F568" t="inlineStr">
        <is>
          <t>متنوع</t>
        </is>
      </c>
      <c r="G568" t="inlineStr"/>
      <c r="H568" t="inlineStr">
        <is>
          <t>1,000.00</t>
        </is>
      </c>
      <c r="I568" t="inlineStr">
        <is>
          <t>أدوات صحية</t>
        </is>
      </c>
    </row>
    <row r="569">
      <c r="A569">
        <f>IMAGE("https://files.manuscdn.com/user_upload_by_module/session_file/310519663766182518/vgVoPiqVQsUYimPm.png")</f>
        <v/>
      </c>
      <c r="B569" t="inlineStr">
        <is>
          <t>product_page089_item09</t>
        </is>
      </c>
      <c r="C569" t="inlineStr">
        <is>
          <t>Blocko</t>
        </is>
      </c>
      <c r="D569" t="inlineStr">
        <is>
          <t>N/A</t>
        </is>
      </c>
      <c r="E569" t="inlineStr"/>
      <c r="F569" t="inlineStr">
        <is>
          <t>متنوع</t>
        </is>
      </c>
      <c r="G569" t="inlineStr"/>
      <c r="H569" t="inlineStr">
        <is>
          <t>1,000.00</t>
        </is>
      </c>
      <c r="I569" t="inlineStr">
        <is>
          <t>أدوات صحية</t>
        </is>
      </c>
    </row>
    <row r="570">
      <c r="A570">
        <f>IMAGE("https://files.manuscdn.com/user_upload_by_module/session_file/310519663766182518/yFMfrQEHMFNXciON.png")</f>
        <v/>
      </c>
      <c r="B570" t="inlineStr">
        <is>
          <t>product_page089_item10</t>
        </is>
      </c>
      <c r="C570" t="inlineStr">
        <is>
          <t>Blocko</t>
        </is>
      </c>
      <c r="D570" t="inlineStr">
        <is>
          <t>N/A</t>
        </is>
      </c>
      <c r="E570" t="inlineStr"/>
      <c r="F570" t="inlineStr">
        <is>
          <t>متنوع</t>
        </is>
      </c>
      <c r="G570" t="inlineStr"/>
      <c r="H570" t="inlineStr">
        <is>
          <t>1,000.00</t>
        </is>
      </c>
      <c r="I570" t="inlineStr">
        <is>
          <t>أدوات صحية</t>
        </is>
      </c>
    </row>
    <row r="571">
      <c r="A571">
        <f>IMAGE("https://files.manuscdn.com/user_upload_by_module/session_file/310519663766182518/VadveiGNefjDNqju.png")</f>
        <v/>
      </c>
      <c r="B571" t="inlineStr">
        <is>
          <t>product_page089_item11</t>
        </is>
      </c>
      <c r="C571" t="inlineStr">
        <is>
          <t>Blocko</t>
        </is>
      </c>
      <c r="D571" t="inlineStr">
        <is>
          <t>N/A</t>
        </is>
      </c>
      <c r="E571" t="inlineStr"/>
      <c r="F571" t="inlineStr">
        <is>
          <t>متنوع</t>
        </is>
      </c>
      <c r="G571" t="inlineStr"/>
      <c r="H571" t="inlineStr">
        <is>
          <t>1,000.00</t>
        </is>
      </c>
      <c r="I571" t="inlineStr">
        <is>
          <t>أدوات صحية</t>
        </is>
      </c>
    </row>
    <row r="572">
      <c r="A572">
        <f>IMAGE("https://files.manuscdn.com/user_upload_by_module/session_file/310519663766182518/NqsxqrJrcAaVVMLW.png")</f>
        <v/>
      </c>
      <c r="B572" t="inlineStr">
        <is>
          <t>product_page090_item00</t>
        </is>
      </c>
      <c r="C572" t="inlineStr">
        <is>
          <t>Blocko</t>
        </is>
      </c>
      <c r="D572" t="inlineStr">
        <is>
          <t>N/A</t>
        </is>
      </c>
      <c r="E572" t="inlineStr"/>
      <c r="F572" t="inlineStr">
        <is>
          <t>متنوع</t>
        </is>
      </c>
      <c r="G572" t="inlineStr"/>
      <c r="H572" t="inlineStr">
        <is>
          <t>1,000.00</t>
        </is>
      </c>
      <c r="I572" t="inlineStr">
        <is>
          <t>أدوات صحية</t>
        </is>
      </c>
    </row>
    <row r="573">
      <c r="A573">
        <f>IMAGE("https://files.manuscdn.com/user_upload_by_module/session_file/310519663766182518/aVxDCKkIeeCYQIXy.png")</f>
        <v/>
      </c>
      <c r="B573" t="inlineStr">
        <is>
          <t>product_page090_item01</t>
        </is>
      </c>
      <c r="C573" t="inlineStr">
        <is>
          <t>Blocko</t>
        </is>
      </c>
      <c r="D573" t="inlineStr">
        <is>
          <t>N/A</t>
        </is>
      </c>
      <c r="E573" t="inlineStr"/>
      <c r="F573" t="inlineStr">
        <is>
          <t>متنوع</t>
        </is>
      </c>
      <c r="G573" t="inlineStr"/>
      <c r="H573" t="inlineStr">
        <is>
          <t>1,000.00</t>
        </is>
      </c>
      <c r="I573" t="inlineStr">
        <is>
          <t>أدوات صحية</t>
        </is>
      </c>
    </row>
    <row r="574">
      <c r="A574">
        <f>IMAGE("https://files.manuscdn.com/user_upload_by_module/session_file/310519663766182518/HVNzEHFMVBtOQCqF.png")</f>
        <v/>
      </c>
      <c r="B574" t="inlineStr">
        <is>
          <t>product_page090_item02</t>
        </is>
      </c>
      <c r="C574" t="inlineStr">
        <is>
          <t>Blocko</t>
        </is>
      </c>
      <c r="D574" t="inlineStr">
        <is>
          <t>N/A</t>
        </is>
      </c>
      <c r="E574" t="inlineStr"/>
      <c r="F574" t="inlineStr">
        <is>
          <t>متنوع</t>
        </is>
      </c>
      <c r="G574" t="inlineStr"/>
      <c r="H574" t="inlineStr">
        <is>
          <t>1,000.00</t>
        </is>
      </c>
      <c r="I574" t="inlineStr">
        <is>
          <t>أدوات صحية</t>
        </is>
      </c>
    </row>
    <row r="575">
      <c r="A575">
        <f>IMAGE("https://files.manuscdn.com/user_upload_by_module/session_file/310519663766182518/OJhSeWfBUQZypecT.png")</f>
        <v/>
      </c>
      <c r="B575" t="inlineStr">
        <is>
          <t>product_page090_item03</t>
        </is>
      </c>
      <c r="C575" t="inlineStr">
        <is>
          <t>Blocko</t>
        </is>
      </c>
      <c r="D575" t="inlineStr">
        <is>
          <t>N/A</t>
        </is>
      </c>
      <c r="E575" t="inlineStr"/>
      <c r="F575" t="inlineStr">
        <is>
          <t>متنوع</t>
        </is>
      </c>
      <c r="G575" t="inlineStr"/>
      <c r="H575" t="inlineStr">
        <is>
          <t>1,000.00</t>
        </is>
      </c>
      <c r="I575" t="inlineStr">
        <is>
          <t>أدوات صحية</t>
        </is>
      </c>
    </row>
    <row r="576">
      <c r="A576">
        <f>IMAGE("https://files.manuscdn.com/user_upload_by_module/session_file/310519663766182518/rXeUPyKAjYOCTbuq.png")</f>
        <v/>
      </c>
      <c r="B576" t="inlineStr">
        <is>
          <t>product_page090_item04</t>
        </is>
      </c>
      <c r="C576" t="inlineStr">
        <is>
          <t>Blocko</t>
        </is>
      </c>
      <c r="D576" t="inlineStr">
        <is>
          <t>N/A</t>
        </is>
      </c>
      <c r="E576" t="inlineStr"/>
      <c r="F576" t="inlineStr">
        <is>
          <t>متنوع</t>
        </is>
      </c>
      <c r="G576" t="inlineStr"/>
      <c r="H576" t="inlineStr">
        <is>
          <t>1,000.00</t>
        </is>
      </c>
      <c r="I576" t="inlineStr">
        <is>
          <t>أدوات صحية</t>
        </is>
      </c>
    </row>
    <row r="577">
      <c r="A577">
        <f>IMAGE("https://files.manuscdn.com/user_upload_by_module/session_file/310519663766182518/YYjtkQFKGViYJsPr.png")</f>
        <v/>
      </c>
      <c r="B577" t="inlineStr">
        <is>
          <t>product_page090_item05</t>
        </is>
      </c>
      <c r="C577" t="inlineStr">
        <is>
          <t>Blocko</t>
        </is>
      </c>
      <c r="D577" t="inlineStr">
        <is>
          <t>N/A</t>
        </is>
      </c>
      <c r="E577" t="inlineStr"/>
      <c r="F577" t="inlineStr">
        <is>
          <t>متنوع</t>
        </is>
      </c>
      <c r="G577" t="inlineStr"/>
      <c r="H577" t="inlineStr">
        <is>
          <t>1,000.00</t>
        </is>
      </c>
      <c r="I577" t="inlineStr">
        <is>
          <t>أدوات صحية</t>
        </is>
      </c>
    </row>
    <row r="578">
      <c r="A578">
        <f>IMAGE("https://files.manuscdn.com/user_upload_by_module/session_file/310519663766182518/RINqtCxKRAVjrHIb.png")</f>
        <v/>
      </c>
      <c r="B578" t="inlineStr">
        <is>
          <t>product_page090_item06</t>
        </is>
      </c>
      <c r="C578" t="inlineStr">
        <is>
          <t>Blocko</t>
        </is>
      </c>
      <c r="D578" t="inlineStr">
        <is>
          <t>N/A</t>
        </is>
      </c>
      <c r="E578" t="inlineStr"/>
      <c r="F578" t="inlineStr">
        <is>
          <t>متنوع</t>
        </is>
      </c>
      <c r="G578" t="inlineStr"/>
      <c r="H578" t="inlineStr">
        <is>
          <t>1,000.00</t>
        </is>
      </c>
      <c r="I578" t="inlineStr">
        <is>
          <t>أدوات صحية</t>
        </is>
      </c>
    </row>
    <row r="579">
      <c r="A579">
        <f>IMAGE("https://files.manuscdn.com/user_upload_by_module/session_file/310519663766182518/qIpRPBWJKTyFmvDM.png")</f>
        <v/>
      </c>
      <c r="B579" t="inlineStr">
        <is>
          <t>product_page090_item07</t>
        </is>
      </c>
      <c r="C579" t="inlineStr">
        <is>
          <t>Blocko</t>
        </is>
      </c>
      <c r="D579" t="inlineStr">
        <is>
          <t>N/A</t>
        </is>
      </c>
      <c r="E579" t="inlineStr"/>
      <c r="F579" t="inlineStr">
        <is>
          <t>متنوع</t>
        </is>
      </c>
      <c r="G579" t="inlineStr"/>
      <c r="H579" t="inlineStr">
        <is>
          <t>1,000.00</t>
        </is>
      </c>
      <c r="I579" t="inlineStr">
        <is>
          <t>أدوات صحية</t>
        </is>
      </c>
    </row>
    <row r="580">
      <c r="A580">
        <f>IMAGE("https://files.manuscdn.com/user_upload_by_module/session_file/310519663766182518/vxuVxexAthkAONQc.png")</f>
        <v/>
      </c>
      <c r="B580" t="inlineStr">
        <is>
          <t>product_page091_item00</t>
        </is>
      </c>
      <c r="C580" t="inlineStr">
        <is>
          <t>Blocko</t>
        </is>
      </c>
      <c r="D580" t="inlineStr">
        <is>
          <t>N/A</t>
        </is>
      </c>
      <c r="E580" t="inlineStr"/>
      <c r="F580" t="inlineStr">
        <is>
          <t>متنوع</t>
        </is>
      </c>
      <c r="G580" t="inlineStr"/>
      <c r="H580" t="inlineStr">
        <is>
          <t>1,000.00</t>
        </is>
      </c>
      <c r="I580" t="inlineStr">
        <is>
          <t>أدوات صحية</t>
        </is>
      </c>
    </row>
    <row r="581">
      <c r="A581">
        <f>IMAGE("https://files.manuscdn.com/user_upload_by_module/session_file/310519663766182518/lgVnQqItArpTPGvc.png")</f>
        <v/>
      </c>
      <c r="B581" t="inlineStr">
        <is>
          <t>product_page091_item01</t>
        </is>
      </c>
      <c r="C581" t="inlineStr">
        <is>
          <t>Blocko</t>
        </is>
      </c>
      <c r="D581" t="inlineStr">
        <is>
          <t>N/A</t>
        </is>
      </c>
      <c r="E581" t="inlineStr"/>
      <c r="F581" t="inlineStr">
        <is>
          <t>متنوع</t>
        </is>
      </c>
      <c r="G581" t="inlineStr"/>
      <c r="H581" t="inlineStr">
        <is>
          <t>1,000.00</t>
        </is>
      </c>
      <c r="I581" t="inlineStr">
        <is>
          <t>أدوات صحية</t>
        </is>
      </c>
    </row>
    <row r="582">
      <c r="A582">
        <f>IMAGE("https://files.manuscdn.com/user_upload_by_module/session_file/310519663766182518/mZQpNuqDhpyWclOA.png")</f>
        <v/>
      </c>
      <c r="B582" t="inlineStr">
        <is>
          <t>product_page091_item02</t>
        </is>
      </c>
      <c r="C582" t="inlineStr">
        <is>
          <t>Blocko</t>
        </is>
      </c>
      <c r="D582" t="inlineStr">
        <is>
          <t>N/A</t>
        </is>
      </c>
      <c r="E582" t="inlineStr"/>
      <c r="F582" t="inlineStr">
        <is>
          <t>متنوع</t>
        </is>
      </c>
      <c r="G582" t="inlineStr"/>
      <c r="H582" t="inlineStr">
        <is>
          <t>1,000.00</t>
        </is>
      </c>
      <c r="I582" t="inlineStr">
        <is>
          <t>أدوات صحية</t>
        </is>
      </c>
    </row>
    <row r="583">
      <c r="A583">
        <f>IMAGE("https://files.manuscdn.com/user_upload_by_module/session_file/310519663766182518/tRuwoRhEuahvgLqT.png")</f>
        <v/>
      </c>
      <c r="B583" t="inlineStr">
        <is>
          <t>product_page091_item03</t>
        </is>
      </c>
      <c r="C583" t="inlineStr">
        <is>
          <t>Blocko</t>
        </is>
      </c>
      <c r="D583" t="inlineStr">
        <is>
          <t>N/A</t>
        </is>
      </c>
      <c r="E583" t="inlineStr"/>
      <c r="F583" t="inlineStr">
        <is>
          <t>متنوع</t>
        </is>
      </c>
      <c r="G583" t="inlineStr"/>
      <c r="H583" t="inlineStr">
        <is>
          <t>1,000.00</t>
        </is>
      </c>
      <c r="I583" t="inlineStr">
        <is>
          <t>أدوات صحية</t>
        </is>
      </c>
    </row>
    <row r="584">
      <c r="A584">
        <f>IMAGE("https://files.manuscdn.com/user_upload_by_module/session_file/310519663766182518/WjpmvAjMsBYTHbDf.png")</f>
        <v/>
      </c>
      <c r="B584" t="inlineStr">
        <is>
          <t>product_page092_item00</t>
        </is>
      </c>
      <c r="C584" t="inlineStr">
        <is>
          <t>Blocko</t>
        </is>
      </c>
      <c r="D584" t="inlineStr">
        <is>
          <t>N/A</t>
        </is>
      </c>
      <c r="E584" t="inlineStr"/>
      <c r="F584" t="inlineStr">
        <is>
          <t>متنوع</t>
        </is>
      </c>
      <c r="G584" t="inlineStr"/>
      <c r="H584" t="inlineStr">
        <is>
          <t>1,000.00</t>
        </is>
      </c>
      <c r="I584" t="inlineStr">
        <is>
          <t>أدوات صحية</t>
        </is>
      </c>
    </row>
    <row r="585">
      <c r="A585">
        <f>IMAGE("https://files.manuscdn.com/user_upload_by_module/session_file/310519663766182518/LPYiiweInSzeXbDI.png")</f>
        <v/>
      </c>
      <c r="B585" t="inlineStr">
        <is>
          <t>product_page092_item01</t>
        </is>
      </c>
      <c r="C585" t="inlineStr">
        <is>
          <t>Blocko</t>
        </is>
      </c>
      <c r="D585" t="inlineStr">
        <is>
          <t>N/A</t>
        </is>
      </c>
      <c r="E585" t="inlineStr"/>
      <c r="F585" t="inlineStr">
        <is>
          <t>متنوع</t>
        </is>
      </c>
      <c r="G585" t="inlineStr"/>
      <c r="H585" t="inlineStr">
        <is>
          <t>1,000.00</t>
        </is>
      </c>
      <c r="I585" t="inlineStr">
        <is>
          <t>أدوات صحية</t>
        </is>
      </c>
    </row>
    <row r="586">
      <c r="A586">
        <f>IMAGE("https://files.manuscdn.com/user_upload_by_module/session_file/310519663766182518/DollQdIaySiLZIci.png")</f>
        <v/>
      </c>
      <c r="B586" t="inlineStr">
        <is>
          <t>product_page092_item02</t>
        </is>
      </c>
      <c r="C586" t="inlineStr">
        <is>
          <t>Blocko</t>
        </is>
      </c>
      <c r="D586" t="inlineStr">
        <is>
          <t>N/A</t>
        </is>
      </c>
      <c r="E586" t="inlineStr"/>
      <c r="F586" t="inlineStr">
        <is>
          <t>متنوع</t>
        </is>
      </c>
      <c r="G586" t="inlineStr"/>
      <c r="H586" t="inlineStr">
        <is>
          <t>1,000.00</t>
        </is>
      </c>
      <c r="I586" t="inlineStr">
        <is>
          <t>أدوات صحية</t>
        </is>
      </c>
    </row>
    <row r="587">
      <c r="A587">
        <f>IMAGE("https://files.manuscdn.com/user_upload_by_module/session_file/310519663766182518/kYMXFhlaGmZGVRZZ.png")</f>
        <v/>
      </c>
      <c r="B587" t="inlineStr">
        <is>
          <t>product_page092_item03</t>
        </is>
      </c>
      <c r="C587" t="inlineStr">
        <is>
          <t>Blocko</t>
        </is>
      </c>
      <c r="D587" t="inlineStr">
        <is>
          <t>N/A</t>
        </is>
      </c>
      <c r="E587" t="inlineStr"/>
      <c r="F587" t="inlineStr">
        <is>
          <t>متنوع</t>
        </is>
      </c>
      <c r="G587" t="inlineStr"/>
      <c r="H587" t="inlineStr">
        <is>
          <t>1,000.00</t>
        </is>
      </c>
      <c r="I587" t="inlineStr">
        <is>
          <t>أدوات صحية</t>
        </is>
      </c>
    </row>
    <row r="588">
      <c r="A588">
        <f>IMAGE("https://files.manuscdn.com/user_upload_by_module/session_file/310519663766182518/lMDPJQqZtTdPunCk.png")</f>
        <v/>
      </c>
      <c r="B588" t="inlineStr">
        <is>
          <t>product_page092_item04</t>
        </is>
      </c>
      <c r="C588" t="inlineStr">
        <is>
          <t>Blocko</t>
        </is>
      </c>
      <c r="D588" t="inlineStr">
        <is>
          <t>N/A</t>
        </is>
      </c>
      <c r="E588" t="inlineStr"/>
      <c r="F588" t="inlineStr">
        <is>
          <t>متنوع</t>
        </is>
      </c>
      <c r="G588" t="inlineStr"/>
      <c r="H588" t="inlineStr">
        <is>
          <t>1,000.00</t>
        </is>
      </c>
      <c r="I588" t="inlineStr">
        <is>
          <t>أدوات صحية</t>
        </is>
      </c>
    </row>
    <row r="589">
      <c r="A589">
        <f>IMAGE("https://files.manuscdn.com/user_upload_by_module/session_file/310519663766182518/sObUpNSIJmtudByF.png")</f>
        <v/>
      </c>
      <c r="B589" t="inlineStr">
        <is>
          <t>product_page092_item05</t>
        </is>
      </c>
      <c r="C589" t="inlineStr">
        <is>
          <t>Blocko</t>
        </is>
      </c>
      <c r="D589" t="inlineStr">
        <is>
          <t>N/A</t>
        </is>
      </c>
      <c r="E589" t="inlineStr"/>
      <c r="F589" t="inlineStr">
        <is>
          <t>متنوع</t>
        </is>
      </c>
      <c r="G589" t="inlineStr"/>
      <c r="H589" t="inlineStr">
        <is>
          <t>1,000.00</t>
        </is>
      </c>
      <c r="I589" t="inlineStr">
        <is>
          <t>أدوات صحية</t>
        </is>
      </c>
    </row>
    <row r="590">
      <c r="A590">
        <f>IMAGE("https://files.manuscdn.com/user_upload_by_module/session_file/310519663766182518/OUCAXvJZTeptKYAa.png")</f>
        <v/>
      </c>
      <c r="B590" t="inlineStr">
        <is>
          <t>product_page092_item06</t>
        </is>
      </c>
      <c r="C590" t="inlineStr">
        <is>
          <t>Blocko</t>
        </is>
      </c>
      <c r="D590" t="inlineStr">
        <is>
          <t>N/A</t>
        </is>
      </c>
      <c r="E590" t="inlineStr"/>
      <c r="F590" t="inlineStr">
        <is>
          <t>متنوع</t>
        </is>
      </c>
      <c r="G590" t="inlineStr"/>
      <c r="H590" t="inlineStr">
        <is>
          <t>1,000.00</t>
        </is>
      </c>
      <c r="I590" t="inlineStr">
        <is>
          <t>أدوات صحية</t>
        </is>
      </c>
    </row>
    <row r="591">
      <c r="A591">
        <f>IMAGE("https://files.manuscdn.com/user_upload_by_module/session_file/310519663766182518/KQmgjCkUOCoHjrNe.png")</f>
        <v/>
      </c>
      <c r="B591" t="inlineStr">
        <is>
          <t>product_page092_item07</t>
        </is>
      </c>
      <c r="C591" t="inlineStr">
        <is>
          <t>Blocko</t>
        </is>
      </c>
      <c r="D591" t="inlineStr">
        <is>
          <t>N/A</t>
        </is>
      </c>
      <c r="E591" t="inlineStr"/>
      <c r="F591" t="inlineStr">
        <is>
          <t>متنوع</t>
        </is>
      </c>
      <c r="G591" t="inlineStr"/>
      <c r="H591" t="inlineStr">
        <is>
          <t>1,000.00</t>
        </is>
      </c>
      <c r="I591" t="inlineStr">
        <is>
          <t>أدوات صحية</t>
        </is>
      </c>
    </row>
    <row r="592">
      <c r="A592">
        <f>IMAGE("https://files.manuscdn.com/user_upload_by_module/session_file/310519663766182518/CKFTVgDuUKSuDfzt.png")</f>
        <v/>
      </c>
      <c r="B592" t="inlineStr">
        <is>
          <t>product_page093_item00</t>
        </is>
      </c>
      <c r="C592" t="inlineStr">
        <is>
          <t>Blocko</t>
        </is>
      </c>
      <c r="D592" t="inlineStr">
        <is>
          <t>N/A</t>
        </is>
      </c>
      <c r="E592" t="inlineStr"/>
      <c r="F592" t="inlineStr">
        <is>
          <t>متنوع</t>
        </is>
      </c>
      <c r="G592" t="inlineStr"/>
      <c r="H592" t="inlineStr">
        <is>
          <t>1,000.00</t>
        </is>
      </c>
      <c r="I592" t="inlineStr">
        <is>
          <t>أدوات صحية</t>
        </is>
      </c>
    </row>
    <row r="593">
      <c r="A593">
        <f>IMAGE("https://files.manuscdn.com/user_upload_by_module/session_file/310519663766182518/LqdfbSrJfjEYQAPX.png")</f>
        <v/>
      </c>
      <c r="B593" t="inlineStr">
        <is>
          <t>product_page093_item01</t>
        </is>
      </c>
      <c r="C593" t="inlineStr">
        <is>
          <t>Blocko</t>
        </is>
      </c>
      <c r="D593" t="inlineStr">
        <is>
          <t>N/A</t>
        </is>
      </c>
      <c r="E593" t="inlineStr"/>
      <c r="F593" t="inlineStr">
        <is>
          <t>متنوع</t>
        </is>
      </c>
      <c r="G593" t="inlineStr"/>
      <c r="H593" t="inlineStr">
        <is>
          <t>1,000.00</t>
        </is>
      </c>
      <c r="I593" t="inlineStr">
        <is>
          <t>أدوات صحية</t>
        </is>
      </c>
    </row>
    <row r="594">
      <c r="A594">
        <f>IMAGE("https://files.manuscdn.com/user_upload_by_module/session_file/310519663766182518/JmUbnGoYamuokCLy.png")</f>
        <v/>
      </c>
      <c r="B594" t="inlineStr">
        <is>
          <t>product_page093_item02</t>
        </is>
      </c>
      <c r="C594" t="inlineStr">
        <is>
          <t>Blocko</t>
        </is>
      </c>
      <c r="D594" t="inlineStr">
        <is>
          <t>N/A</t>
        </is>
      </c>
      <c r="E594" t="inlineStr"/>
      <c r="F594" t="inlineStr">
        <is>
          <t>متنوع</t>
        </is>
      </c>
      <c r="G594" t="inlineStr"/>
      <c r="H594" t="inlineStr">
        <is>
          <t>1,000.00</t>
        </is>
      </c>
      <c r="I594" t="inlineStr">
        <is>
          <t>أدوات صحية</t>
        </is>
      </c>
    </row>
    <row r="595">
      <c r="A595">
        <f>IMAGE("https://files.manuscdn.com/user_upload_by_module/session_file/310519663766182518/QKJUhfoGRyJmKUHk.png")</f>
        <v/>
      </c>
      <c r="B595" t="inlineStr">
        <is>
          <t>product_page093_item03</t>
        </is>
      </c>
      <c r="C595" t="inlineStr">
        <is>
          <t>Blocko</t>
        </is>
      </c>
      <c r="D595" t="inlineStr">
        <is>
          <t>N/A</t>
        </is>
      </c>
      <c r="E595" t="inlineStr"/>
      <c r="F595" t="inlineStr">
        <is>
          <t>متنوع</t>
        </is>
      </c>
      <c r="G595" t="inlineStr"/>
      <c r="H595" t="inlineStr">
        <is>
          <t>1,000.00</t>
        </is>
      </c>
      <c r="I595" t="inlineStr">
        <is>
          <t>أدوات صحية</t>
        </is>
      </c>
    </row>
    <row r="596">
      <c r="A596">
        <f>IMAGE("https://files.manuscdn.com/user_upload_by_module/session_file/310519663766182518/wpRNmSjBrRNoJypP.png")</f>
        <v/>
      </c>
      <c r="B596" t="inlineStr">
        <is>
          <t>product_page094_item00</t>
        </is>
      </c>
      <c r="C596" t="inlineStr">
        <is>
          <t>Blocko</t>
        </is>
      </c>
      <c r="D596" t="inlineStr">
        <is>
          <t>N/A</t>
        </is>
      </c>
      <c r="E596" t="inlineStr"/>
      <c r="F596" t="inlineStr">
        <is>
          <t>متنوع</t>
        </is>
      </c>
      <c r="G596" t="inlineStr"/>
      <c r="H596" t="inlineStr">
        <is>
          <t>1,000.00</t>
        </is>
      </c>
      <c r="I596" t="inlineStr">
        <is>
          <t>أدوات صحية</t>
        </is>
      </c>
    </row>
    <row r="597">
      <c r="A597">
        <f>IMAGE("https://files.manuscdn.com/user_upload_by_module/session_file/310519663766182518/kfaPFRcjkCfKXRNx.png")</f>
        <v/>
      </c>
      <c r="B597" t="inlineStr">
        <is>
          <t>product_page094_item01</t>
        </is>
      </c>
      <c r="C597" t="inlineStr">
        <is>
          <t>Blocko</t>
        </is>
      </c>
      <c r="D597" t="inlineStr">
        <is>
          <t>N/A</t>
        </is>
      </c>
      <c r="E597" t="inlineStr"/>
      <c r="F597" t="inlineStr">
        <is>
          <t>متنوع</t>
        </is>
      </c>
      <c r="G597" t="inlineStr"/>
      <c r="H597" t="inlineStr">
        <is>
          <t>1,000.00</t>
        </is>
      </c>
      <c r="I597" t="inlineStr">
        <is>
          <t>أدوات صحية</t>
        </is>
      </c>
    </row>
    <row r="598">
      <c r="A598">
        <f>IMAGE("https://files.manuscdn.com/user_upload_by_module/session_file/310519663766182518/HOpDxidJeJOMIcCO.png")</f>
        <v/>
      </c>
      <c r="B598" t="inlineStr">
        <is>
          <t>product_page094_item02</t>
        </is>
      </c>
      <c r="C598" t="inlineStr">
        <is>
          <t>Blocko</t>
        </is>
      </c>
      <c r="D598" t="inlineStr">
        <is>
          <t>N/A</t>
        </is>
      </c>
      <c r="E598" t="inlineStr"/>
      <c r="F598" t="inlineStr">
        <is>
          <t>متنوع</t>
        </is>
      </c>
      <c r="G598" t="inlineStr"/>
      <c r="H598" t="inlineStr">
        <is>
          <t>1,000.00</t>
        </is>
      </c>
      <c r="I598" t="inlineStr">
        <is>
          <t>أدوات صحية</t>
        </is>
      </c>
    </row>
    <row r="599">
      <c r="A599">
        <f>IMAGE("https://files.manuscdn.com/user_upload_by_module/session_file/310519663766182518/GXzTRbjueToVzPNP.png")</f>
        <v/>
      </c>
      <c r="B599" t="inlineStr">
        <is>
          <t>product_page094_item03</t>
        </is>
      </c>
      <c r="C599" t="inlineStr">
        <is>
          <t>Blocko</t>
        </is>
      </c>
      <c r="D599" t="inlineStr">
        <is>
          <t>N/A</t>
        </is>
      </c>
      <c r="E599" t="inlineStr"/>
      <c r="F599" t="inlineStr">
        <is>
          <t>متنوع</t>
        </is>
      </c>
      <c r="G599" t="inlineStr"/>
      <c r="H599" t="inlineStr">
        <is>
          <t>1,000.00</t>
        </is>
      </c>
      <c r="I599" t="inlineStr">
        <is>
          <t>أدوات صحية</t>
        </is>
      </c>
    </row>
    <row r="600">
      <c r="A600">
        <f>IMAGE("https://files.manuscdn.com/user_upload_by_module/session_file/310519663766182518/crvQxCPYuwwQkWkd.png")</f>
        <v/>
      </c>
      <c r="B600" t="inlineStr">
        <is>
          <t>product_page094_item04</t>
        </is>
      </c>
      <c r="C600" t="inlineStr">
        <is>
          <t>Blocko</t>
        </is>
      </c>
      <c r="D600" t="inlineStr">
        <is>
          <t>N/A</t>
        </is>
      </c>
      <c r="E600" t="inlineStr"/>
      <c r="F600" t="inlineStr">
        <is>
          <t>متنوع</t>
        </is>
      </c>
      <c r="G600" t="inlineStr"/>
      <c r="H600" t="inlineStr">
        <is>
          <t>1,000.00</t>
        </is>
      </c>
      <c r="I600" t="inlineStr">
        <is>
          <t>أدوات صحية</t>
        </is>
      </c>
    </row>
    <row r="601">
      <c r="A601">
        <f>IMAGE("https://files.manuscdn.com/user_upload_by_module/session_file/310519663766182518/NFeuSbPLVQnDRkcO.png")</f>
        <v/>
      </c>
      <c r="B601" t="inlineStr">
        <is>
          <t>product_page094_item05</t>
        </is>
      </c>
      <c r="C601" t="inlineStr">
        <is>
          <t>Blocko</t>
        </is>
      </c>
      <c r="D601" t="inlineStr">
        <is>
          <t>N/A</t>
        </is>
      </c>
      <c r="E601" t="inlineStr"/>
      <c r="F601" t="inlineStr">
        <is>
          <t>متنوع</t>
        </is>
      </c>
      <c r="G601" t="inlineStr"/>
      <c r="H601" t="inlineStr">
        <is>
          <t>1,000.00</t>
        </is>
      </c>
      <c r="I601" t="inlineStr">
        <is>
          <t>أدوات صحية</t>
        </is>
      </c>
    </row>
    <row r="602">
      <c r="A602">
        <f>IMAGE("https://files.manuscdn.com/user_upload_by_module/session_file/310519663766182518/aZNWpXhWHHfMKKnu.png")</f>
        <v/>
      </c>
      <c r="B602" t="inlineStr">
        <is>
          <t>product_page094_item06</t>
        </is>
      </c>
      <c r="C602" t="inlineStr">
        <is>
          <t>Blocko</t>
        </is>
      </c>
      <c r="D602" t="inlineStr">
        <is>
          <t>N/A</t>
        </is>
      </c>
      <c r="E602" t="inlineStr"/>
      <c r="F602" t="inlineStr">
        <is>
          <t>متنوع</t>
        </is>
      </c>
      <c r="G602" t="inlineStr"/>
      <c r="H602" t="inlineStr">
        <is>
          <t>1,000.00</t>
        </is>
      </c>
      <c r="I602" t="inlineStr">
        <is>
          <t>أدوات صحية</t>
        </is>
      </c>
    </row>
    <row r="603">
      <c r="A603">
        <f>IMAGE("https://files.manuscdn.com/user_upload_by_module/session_file/310519663766182518/hXNeaBhdvIAJVJOq.png")</f>
        <v/>
      </c>
      <c r="B603" t="inlineStr">
        <is>
          <t>product_page094_item07</t>
        </is>
      </c>
      <c r="C603" t="inlineStr">
        <is>
          <t>Blocko</t>
        </is>
      </c>
      <c r="D603" t="inlineStr">
        <is>
          <t>N/A</t>
        </is>
      </c>
      <c r="E603" t="inlineStr"/>
      <c r="F603" t="inlineStr">
        <is>
          <t>متنوع</t>
        </is>
      </c>
      <c r="G603" t="inlineStr"/>
      <c r="H603" t="inlineStr">
        <is>
          <t>1,000.00</t>
        </is>
      </c>
      <c r="I603" t="inlineStr">
        <is>
          <t>أدوات صحية</t>
        </is>
      </c>
    </row>
    <row r="604">
      <c r="A604">
        <f>IMAGE("https://files.manuscdn.com/user_upload_by_module/session_file/310519663766182518/DSEBxLXoPKELgpaV.png")</f>
        <v/>
      </c>
      <c r="B604" t="inlineStr">
        <is>
          <t>product_page095_item00</t>
        </is>
      </c>
      <c r="C604" t="inlineStr">
        <is>
          <t>Blocko</t>
        </is>
      </c>
      <c r="D604" t="inlineStr">
        <is>
          <t>N/A</t>
        </is>
      </c>
      <c r="E604" t="inlineStr"/>
      <c r="F604" t="inlineStr">
        <is>
          <t>متنوع</t>
        </is>
      </c>
      <c r="G604" t="inlineStr"/>
      <c r="H604" t="inlineStr">
        <is>
          <t>1,000.00</t>
        </is>
      </c>
      <c r="I604" t="inlineStr">
        <is>
          <t>أدوات صحية</t>
        </is>
      </c>
    </row>
    <row r="605">
      <c r="A605">
        <f>IMAGE("https://files.manuscdn.com/user_upload_by_module/session_file/310519663766182518/tpicBuhBTIVCGVrz.png")</f>
        <v/>
      </c>
      <c r="B605" t="inlineStr">
        <is>
          <t>product_page095_item01</t>
        </is>
      </c>
      <c r="C605" t="inlineStr">
        <is>
          <t>Blocko</t>
        </is>
      </c>
      <c r="D605" t="inlineStr">
        <is>
          <t>N/A</t>
        </is>
      </c>
      <c r="E605" t="inlineStr"/>
      <c r="F605" t="inlineStr">
        <is>
          <t>متنوع</t>
        </is>
      </c>
      <c r="G605" t="inlineStr"/>
      <c r="H605" t="inlineStr">
        <is>
          <t>1,000.00</t>
        </is>
      </c>
      <c r="I605" t="inlineStr">
        <is>
          <t>أدوات صحية</t>
        </is>
      </c>
    </row>
    <row r="606">
      <c r="A606">
        <f>IMAGE("https://files.manuscdn.com/user_upload_by_module/session_file/310519663766182518/MYjVwZSjGNptdxjQ.png")</f>
        <v/>
      </c>
      <c r="B606" t="inlineStr">
        <is>
          <t>product_page095_item02</t>
        </is>
      </c>
      <c r="C606" t="inlineStr">
        <is>
          <t>Blocko</t>
        </is>
      </c>
      <c r="D606" t="inlineStr">
        <is>
          <t>N/A</t>
        </is>
      </c>
      <c r="E606" t="inlineStr"/>
      <c r="F606" t="inlineStr">
        <is>
          <t>متنوع</t>
        </is>
      </c>
      <c r="G606" t="inlineStr"/>
      <c r="H606" t="inlineStr">
        <is>
          <t>1,000.00</t>
        </is>
      </c>
      <c r="I606" t="inlineStr">
        <is>
          <t>أدوات صحية</t>
        </is>
      </c>
    </row>
    <row r="607">
      <c r="A607">
        <f>IMAGE("https://files.manuscdn.com/user_upload_by_module/session_file/310519663766182518/EqImxoWlTBkCHkMd.png")</f>
        <v/>
      </c>
      <c r="B607" t="inlineStr">
        <is>
          <t>product_page095_item04</t>
        </is>
      </c>
      <c r="C607" t="inlineStr">
        <is>
          <t>Blocko</t>
        </is>
      </c>
      <c r="D607" t="inlineStr">
        <is>
          <t>N/A</t>
        </is>
      </c>
      <c r="E607" t="inlineStr"/>
      <c r="F607" t="inlineStr">
        <is>
          <t>متنوع</t>
        </is>
      </c>
      <c r="G607" t="inlineStr"/>
      <c r="H607" t="inlineStr">
        <is>
          <t>1,000.00</t>
        </is>
      </c>
      <c r="I607" t="inlineStr">
        <is>
          <t>أدوات صحية</t>
        </is>
      </c>
    </row>
    <row r="608">
      <c r="A608">
        <f>IMAGE("https://files.manuscdn.com/user_upload_by_module/session_file/310519663766182518/qQvbeTKiTLCMYJsC.png")</f>
        <v/>
      </c>
      <c r="B608" t="inlineStr">
        <is>
          <t>product_page095_item05</t>
        </is>
      </c>
      <c r="C608" t="inlineStr">
        <is>
          <t>Blocko</t>
        </is>
      </c>
      <c r="D608" t="inlineStr">
        <is>
          <t>N/A</t>
        </is>
      </c>
      <c r="E608" t="inlineStr"/>
      <c r="F608" t="inlineStr">
        <is>
          <t>متنوع</t>
        </is>
      </c>
      <c r="G608" t="inlineStr"/>
      <c r="H608" t="inlineStr">
        <is>
          <t>1,000.00</t>
        </is>
      </c>
      <c r="I608" t="inlineStr">
        <is>
          <t>أدوات صحية</t>
        </is>
      </c>
    </row>
    <row r="609">
      <c r="A609">
        <f>IMAGE("https://files.manuscdn.com/user_upload_by_module/session_file/310519663766182518/cWlZrFBOWORqPrTo.png")</f>
        <v/>
      </c>
      <c r="B609" t="inlineStr">
        <is>
          <t>product_page096_item00</t>
        </is>
      </c>
      <c r="C609" t="inlineStr">
        <is>
          <t>Blocko</t>
        </is>
      </c>
      <c r="D609" t="inlineStr">
        <is>
          <t>N/A</t>
        </is>
      </c>
      <c r="E609" t="inlineStr"/>
      <c r="F609" t="inlineStr">
        <is>
          <t>متنوع</t>
        </is>
      </c>
      <c r="G609" t="inlineStr"/>
      <c r="H609" t="inlineStr">
        <is>
          <t>1,000.00</t>
        </is>
      </c>
      <c r="I609" t="inlineStr">
        <is>
          <t>أدوات صحية</t>
        </is>
      </c>
    </row>
    <row r="610">
      <c r="A610">
        <f>IMAGE("https://files.manuscdn.com/user_upload_by_module/session_file/310519663766182518/vfOCsZtWhhFBXPSm.png")</f>
        <v/>
      </c>
      <c r="B610" t="inlineStr">
        <is>
          <t>product_page096_item01</t>
        </is>
      </c>
      <c r="C610" t="inlineStr">
        <is>
          <t>Blocko</t>
        </is>
      </c>
      <c r="D610" t="inlineStr">
        <is>
          <t>N/A</t>
        </is>
      </c>
      <c r="E610" t="inlineStr"/>
      <c r="F610" t="inlineStr">
        <is>
          <t>متنوع</t>
        </is>
      </c>
      <c r="G610" t="inlineStr"/>
      <c r="H610" t="inlineStr">
        <is>
          <t>1,000.00</t>
        </is>
      </c>
      <c r="I610" t="inlineStr">
        <is>
          <t>أدوات صحية</t>
        </is>
      </c>
    </row>
    <row r="611">
      <c r="A611">
        <f>IMAGE("https://files.manuscdn.com/user_upload_by_module/session_file/310519663766182518/BOYCJQJSSCEfspXX.png")</f>
        <v/>
      </c>
      <c r="B611" t="inlineStr">
        <is>
          <t>product_page096_item02</t>
        </is>
      </c>
      <c r="C611" t="inlineStr">
        <is>
          <t>Blocko</t>
        </is>
      </c>
      <c r="D611" t="inlineStr">
        <is>
          <t>N/A</t>
        </is>
      </c>
      <c r="E611" t="inlineStr"/>
      <c r="F611" t="inlineStr">
        <is>
          <t>متنوع</t>
        </is>
      </c>
      <c r="G611" t="inlineStr"/>
      <c r="H611" t="inlineStr">
        <is>
          <t>1,000.00</t>
        </is>
      </c>
      <c r="I611" t="inlineStr">
        <is>
          <t>أدوات صحية</t>
        </is>
      </c>
    </row>
    <row r="612">
      <c r="A612">
        <f>IMAGE("https://files.manuscdn.com/user_upload_by_module/session_file/310519663766182518/UKsCfIuCffsnJPds.png")</f>
        <v/>
      </c>
      <c r="B612" t="inlineStr">
        <is>
          <t>product_page096_item03</t>
        </is>
      </c>
      <c r="C612" t="inlineStr">
        <is>
          <t>Blocko</t>
        </is>
      </c>
      <c r="D612" t="inlineStr">
        <is>
          <t>N/A</t>
        </is>
      </c>
      <c r="E612" t="inlineStr"/>
      <c r="F612" t="inlineStr">
        <is>
          <t>متنوع</t>
        </is>
      </c>
      <c r="G612" t="inlineStr"/>
      <c r="H612" t="inlineStr">
        <is>
          <t>1,000.00</t>
        </is>
      </c>
      <c r="I612" t="inlineStr">
        <is>
          <t>أدوات صحية</t>
        </is>
      </c>
    </row>
    <row r="613">
      <c r="A613">
        <f>IMAGE("https://files.manuscdn.com/user_upload_by_module/session_file/310519663766182518/YXXNWMLPTBGBsbTM.png")</f>
        <v/>
      </c>
      <c r="B613" t="inlineStr">
        <is>
          <t>product_page096_item04</t>
        </is>
      </c>
      <c r="C613" t="inlineStr">
        <is>
          <t>Blocko</t>
        </is>
      </c>
      <c r="D613" t="inlineStr">
        <is>
          <t>N/A</t>
        </is>
      </c>
      <c r="E613" t="inlineStr"/>
      <c r="F613" t="inlineStr">
        <is>
          <t>متنوع</t>
        </is>
      </c>
      <c r="G613" t="inlineStr"/>
      <c r="H613" t="inlineStr">
        <is>
          <t>1,000.00</t>
        </is>
      </c>
      <c r="I613" t="inlineStr">
        <is>
          <t>أدوات صحية</t>
        </is>
      </c>
    </row>
    <row r="614">
      <c r="A614">
        <f>IMAGE("https://files.manuscdn.com/user_upload_by_module/session_file/310519663766182518/xTDeJZyEyEXNjaJw.png")</f>
        <v/>
      </c>
      <c r="B614" t="inlineStr">
        <is>
          <t>product_page096_item05</t>
        </is>
      </c>
      <c r="C614" t="inlineStr">
        <is>
          <t>Blocko</t>
        </is>
      </c>
      <c r="D614" t="inlineStr">
        <is>
          <t>N/A</t>
        </is>
      </c>
      <c r="E614" t="inlineStr"/>
      <c r="F614" t="inlineStr">
        <is>
          <t>متنوع</t>
        </is>
      </c>
      <c r="G614" t="inlineStr"/>
      <c r="H614" t="inlineStr">
        <is>
          <t>1,000.00</t>
        </is>
      </c>
      <c r="I614" t="inlineStr">
        <is>
          <t>أدوات صحية</t>
        </is>
      </c>
    </row>
    <row r="615">
      <c r="A615">
        <f>IMAGE("https://files.manuscdn.com/user_upload_by_module/session_file/310519663766182518/ioswPbsZWgVEJldP.png")</f>
        <v/>
      </c>
      <c r="B615" t="inlineStr">
        <is>
          <t>product_page096_item06</t>
        </is>
      </c>
      <c r="C615" t="inlineStr">
        <is>
          <t>Blocko</t>
        </is>
      </c>
      <c r="D615" t="inlineStr">
        <is>
          <t>N/A</t>
        </is>
      </c>
      <c r="E615" t="inlineStr"/>
      <c r="F615" t="inlineStr">
        <is>
          <t>متنوع</t>
        </is>
      </c>
      <c r="G615" t="inlineStr"/>
      <c r="H615" t="inlineStr">
        <is>
          <t>1,000.00</t>
        </is>
      </c>
      <c r="I615" t="inlineStr">
        <is>
          <t>أدوات صحية</t>
        </is>
      </c>
    </row>
    <row r="616">
      <c r="A616">
        <f>IMAGE("https://files.manuscdn.com/user_upload_by_module/session_file/310519663766182518/WnfwnMJyJMoLzGuO.png")</f>
        <v/>
      </c>
      <c r="B616" t="inlineStr">
        <is>
          <t>product_page096_item07</t>
        </is>
      </c>
      <c r="C616" t="inlineStr">
        <is>
          <t>Blocko</t>
        </is>
      </c>
      <c r="D616" t="inlineStr">
        <is>
          <t>N/A</t>
        </is>
      </c>
      <c r="E616" t="inlineStr"/>
      <c r="F616" t="inlineStr">
        <is>
          <t>متنوع</t>
        </is>
      </c>
      <c r="G616" t="inlineStr"/>
      <c r="H616" t="inlineStr">
        <is>
          <t>1,000.00</t>
        </is>
      </c>
      <c r="I616" t="inlineStr">
        <is>
          <t>أدوات صحية</t>
        </is>
      </c>
    </row>
    <row r="617">
      <c r="A617">
        <f>IMAGE("https://files.manuscdn.com/user_upload_by_module/session_file/310519663766182518/poxOBGzKuMVHynHi.png")</f>
        <v/>
      </c>
      <c r="B617" t="inlineStr">
        <is>
          <t>product_page097_item00</t>
        </is>
      </c>
      <c r="C617" t="inlineStr">
        <is>
          <t>Blocko</t>
        </is>
      </c>
      <c r="D617" t="inlineStr">
        <is>
          <t>N/A</t>
        </is>
      </c>
      <c r="E617" t="inlineStr"/>
      <c r="F617" t="inlineStr">
        <is>
          <t>متنوع</t>
        </is>
      </c>
      <c r="G617" t="inlineStr"/>
      <c r="H617" t="inlineStr">
        <is>
          <t>1,000.00</t>
        </is>
      </c>
      <c r="I617" t="inlineStr">
        <is>
          <t>أدوات صحية</t>
        </is>
      </c>
    </row>
    <row r="618">
      <c r="A618">
        <f>IMAGE("https://files.manuscdn.com/user_upload_by_module/session_file/310519663766182518/sqJBwAWVUKDPFvQL.png")</f>
        <v/>
      </c>
      <c r="B618" t="inlineStr">
        <is>
          <t>product_page097_item01</t>
        </is>
      </c>
      <c r="C618" t="inlineStr">
        <is>
          <t>Blocko</t>
        </is>
      </c>
      <c r="D618" t="inlineStr">
        <is>
          <t>N/A</t>
        </is>
      </c>
      <c r="E618" t="inlineStr"/>
      <c r="F618" t="inlineStr">
        <is>
          <t>متنوع</t>
        </is>
      </c>
      <c r="G618" t="inlineStr"/>
      <c r="H618" t="inlineStr">
        <is>
          <t>1,000.00</t>
        </is>
      </c>
      <c r="I618" t="inlineStr">
        <is>
          <t>أدوات صحية</t>
        </is>
      </c>
    </row>
    <row r="619">
      <c r="A619">
        <f>IMAGE("https://files.manuscdn.com/user_upload_by_module/session_file/310519663766182518/bfXpMZxblCoSywbG.png")</f>
        <v/>
      </c>
      <c r="B619" t="inlineStr">
        <is>
          <t>product_page097_item02</t>
        </is>
      </c>
      <c r="C619" t="inlineStr">
        <is>
          <t>Blocko</t>
        </is>
      </c>
      <c r="D619" t="inlineStr">
        <is>
          <t>N/A</t>
        </is>
      </c>
      <c r="E619" t="inlineStr"/>
      <c r="F619" t="inlineStr">
        <is>
          <t>متنوع</t>
        </is>
      </c>
      <c r="G619" t="inlineStr"/>
      <c r="H619" t="inlineStr">
        <is>
          <t>1,000.00</t>
        </is>
      </c>
      <c r="I619" t="inlineStr">
        <is>
          <t>أدوات صحية</t>
        </is>
      </c>
    </row>
    <row r="620">
      <c r="A620">
        <f>IMAGE("https://files.manuscdn.com/user_upload_by_module/session_file/310519663766182518/uOXjpQKHTgwVIsrk.png")</f>
        <v/>
      </c>
      <c r="B620" t="inlineStr">
        <is>
          <t>product_page097_item03</t>
        </is>
      </c>
      <c r="C620" t="inlineStr">
        <is>
          <t>Blocko</t>
        </is>
      </c>
      <c r="D620" t="inlineStr">
        <is>
          <t>N/A</t>
        </is>
      </c>
      <c r="E620" t="inlineStr"/>
      <c r="F620" t="inlineStr">
        <is>
          <t>متنوع</t>
        </is>
      </c>
      <c r="G620" t="inlineStr"/>
      <c r="H620" t="inlineStr">
        <is>
          <t>1,000.00</t>
        </is>
      </c>
      <c r="I620" t="inlineStr">
        <is>
          <t>أدوات صحية</t>
        </is>
      </c>
    </row>
    <row r="621">
      <c r="A621">
        <f>IMAGE("https://files.manuscdn.com/user_upload_by_module/session_file/310519663766182518/XbkeIRgbiruRPBzj.png")</f>
        <v/>
      </c>
      <c r="B621" t="inlineStr">
        <is>
          <t>product_page097_item04</t>
        </is>
      </c>
      <c r="C621" t="inlineStr">
        <is>
          <t>Blocko</t>
        </is>
      </c>
      <c r="D621" t="inlineStr">
        <is>
          <t>N/A</t>
        </is>
      </c>
      <c r="E621" t="inlineStr"/>
      <c r="F621" t="inlineStr">
        <is>
          <t>متنوع</t>
        </is>
      </c>
      <c r="G621" t="inlineStr"/>
      <c r="H621" t="inlineStr">
        <is>
          <t>1,000.00</t>
        </is>
      </c>
      <c r="I621" t="inlineStr">
        <is>
          <t>أدوات صحية</t>
        </is>
      </c>
    </row>
    <row r="622">
      <c r="A622">
        <f>IMAGE("https://files.manuscdn.com/user_upload_by_module/session_file/310519663766182518/DbNEkOQXlAylkWaD.png")</f>
        <v/>
      </c>
      <c r="B622" t="inlineStr">
        <is>
          <t>product_page097_item05</t>
        </is>
      </c>
      <c r="C622" t="inlineStr">
        <is>
          <t>Blocko</t>
        </is>
      </c>
      <c r="D622" t="inlineStr">
        <is>
          <t>N/A</t>
        </is>
      </c>
      <c r="E622" t="inlineStr"/>
      <c r="F622" t="inlineStr">
        <is>
          <t>متنوع</t>
        </is>
      </c>
      <c r="G622" t="inlineStr"/>
      <c r="H622" t="inlineStr">
        <is>
          <t>1,000.00</t>
        </is>
      </c>
      <c r="I622" t="inlineStr">
        <is>
          <t>أدوات صحية</t>
        </is>
      </c>
    </row>
    <row r="623">
      <c r="A623">
        <f>IMAGE("https://files.manuscdn.com/user_upload_by_module/session_file/310519663766182518/YUjnGkgvGNGPYBfN.png")</f>
        <v/>
      </c>
      <c r="B623" t="inlineStr">
        <is>
          <t>product_page098_item00</t>
        </is>
      </c>
      <c r="C623" t="inlineStr">
        <is>
          <t>Blocko</t>
        </is>
      </c>
      <c r="D623" t="inlineStr">
        <is>
          <t>N/A</t>
        </is>
      </c>
      <c r="E623" t="inlineStr"/>
      <c r="F623" t="inlineStr">
        <is>
          <t>متنوع</t>
        </is>
      </c>
      <c r="G623" t="inlineStr"/>
      <c r="H623" t="inlineStr">
        <is>
          <t>1,000.00</t>
        </is>
      </c>
      <c r="I623" t="inlineStr">
        <is>
          <t>أدوات صحية</t>
        </is>
      </c>
    </row>
    <row r="624">
      <c r="A624">
        <f>IMAGE("https://files.manuscdn.com/user_upload_by_module/session_file/310519663766182518/KvsXhOsGMaNfgXji.png")</f>
        <v/>
      </c>
      <c r="B624" t="inlineStr">
        <is>
          <t>product_page098_item01</t>
        </is>
      </c>
      <c r="C624" t="inlineStr">
        <is>
          <t>Blocko</t>
        </is>
      </c>
      <c r="D624" t="inlineStr">
        <is>
          <t>N/A</t>
        </is>
      </c>
      <c r="E624" t="inlineStr"/>
      <c r="F624" t="inlineStr">
        <is>
          <t>متنوع</t>
        </is>
      </c>
      <c r="G624" t="inlineStr"/>
      <c r="H624" t="inlineStr">
        <is>
          <t>1,000.00</t>
        </is>
      </c>
      <c r="I624" t="inlineStr">
        <is>
          <t>أدوات صحية</t>
        </is>
      </c>
    </row>
    <row r="625">
      <c r="A625">
        <f>IMAGE("https://files.manuscdn.com/user_upload_by_module/session_file/310519663766182518/MWvjFplzPUQJTusR.png")</f>
        <v/>
      </c>
      <c r="B625" t="inlineStr">
        <is>
          <t>product_page098_item02</t>
        </is>
      </c>
      <c r="C625" t="inlineStr">
        <is>
          <t>Blocko</t>
        </is>
      </c>
      <c r="D625" t="inlineStr">
        <is>
          <t>N/A</t>
        </is>
      </c>
      <c r="E625" t="inlineStr"/>
      <c r="F625" t="inlineStr">
        <is>
          <t>متنوع</t>
        </is>
      </c>
      <c r="G625" t="inlineStr"/>
      <c r="H625" t="inlineStr">
        <is>
          <t>1,000.00</t>
        </is>
      </c>
      <c r="I625" t="inlineStr">
        <is>
          <t>أدوات صحية</t>
        </is>
      </c>
    </row>
    <row r="626">
      <c r="A626">
        <f>IMAGE("https://files.manuscdn.com/user_upload_by_module/session_file/310519663766182518/DHvWiTPGlJIGzGKo.png")</f>
        <v/>
      </c>
      <c r="B626" t="inlineStr">
        <is>
          <t>product_page098_item03</t>
        </is>
      </c>
      <c r="C626" t="inlineStr">
        <is>
          <t>Blocko</t>
        </is>
      </c>
      <c r="D626" t="inlineStr">
        <is>
          <t>N/A</t>
        </is>
      </c>
      <c r="E626" t="inlineStr"/>
      <c r="F626" t="inlineStr">
        <is>
          <t>متنوع</t>
        </is>
      </c>
      <c r="G626" t="inlineStr"/>
      <c r="H626" t="inlineStr">
        <is>
          <t>1,000.00</t>
        </is>
      </c>
      <c r="I626" t="inlineStr">
        <is>
          <t>أدوات صحية</t>
        </is>
      </c>
    </row>
    <row r="627">
      <c r="A627">
        <f>IMAGE("https://files.manuscdn.com/user_upload_by_module/session_file/310519663766182518/DUgPQSEuuWXEVIPh.png")</f>
        <v/>
      </c>
      <c r="B627" t="inlineStr">
        <is>
          <t>product_page099_item00</t>
        </is>
      </c>
      <c r="C627" t="inlineStr">
        <is>
          <t>Blocko</t>
        </is>
      </c>
      <c r="D627" t="inlineStr">
        <is>
          <t>N/A</t>
        </is>
      </c>
      <c r="E627" t="inlineStr"/>
      <c r="F627" t="inlineStr">
        <is>
          <t>متنوع</t>
        </is>
      </c>
      <c r="G627" t="inlineStr"/>
      <c r="H627" t="inlineStr">
        <is>
          <t>1,000.00</t>
        </is>
      </c>
      <c r="I627" t="inlineStr">
        <is>
          <t>أدوات صحية</t>
        </is>
      </c>
    </row>
    <row r="628">
      <c r="A628">
        <f>IMAGE("https://files.manuscdn.com/user_upload_by_module/session_file/310519663766182518/gVKBljeHVYBmQcwz.png")</f>
        <v/>
      </c>
      <c r="B628" t="inlineStr">
        <is>
          <t>product_page100_item00</t>
        </is>
      </c>
      <c r="C628" t="inlineStr">
        <is>
          <t>Blocko</t>
        </is>
      </c>
      <c r="D628" t="inlineStr">
        <is>
          <t>N/A</t>
        </is>
      </c>
      <c r="E628" t="inlineStr"/>
      <c r="F628" t="inlineStr">
        <is>
          <t>متنوع</t>
        </is>
      </c>
      <c r="G628" t="inlineStr"/>
      <c r="H628" t="inlineStr">
        <is>
          <t>1,000.00</t>
        </is>
      </c>
      <c r="I628" t="inlineStr">
        <is>
          <t>أدوات صحية</t>
        </is>
      </c>
    </row>
    <row r="629">
      <c r="A629">
        <f>IMAGE("https://files.manuscdn.com/user_upload_by_module/session_file/310519663766182518/ddsAxVFIpDmLnIZn.png")</f>
        <v/>
      </c>
      <c r="B629" t="inlineStr">
        <is>
          <t>product_page100_item01</t>
        </is>
      </c>
      <c r="C629" t="inlineStr">
        <is>
          <t>Blocko</t>
        </is>
      </c>
      <c r="D629" t="inlineStr">
        <is>
          <t>N/A</t>
        </is>
      </c>
      <c r="E629" t="inlineStr"/>
      <c r="F629" t="inlineStr">
        <is>
          <t>متنوع</t>
        </is>
      </c>
      <c r="G629" t="inlineStr"/>
      <c r="H629" t="inlineStr">
        <is>
          <t>1,000.00</t>
        </is>
      </c>
      <c r="I629" t="inlineStr">
        <is>
          <t>أدوات صحية</t>
        </is>
      </c>
    </row>
    <row r="630">
      <c r="A630">
        <f>IMAGE("https://files.manuscdn.com/user_upload_by_module/session_file/310519663766182518/dodpCphCXhGuHarF.png")</f>
        <v/>
      </c>
      <c r="B630" t="inlineStr">
        <is>
          <t>product_page100_item02</t>
        </is>
      </c>
      <c r="C630" t="inlineStr">
        <is>
          <t>Blocko</t>
        </is>
      </c>
      <c r="D630" t="inlineStr">
        <is>
          <t>N/A</t>
        </is>
      </c>
      <c r="E630" t="inlineStr"/>
      <c r="F630" t="inlineStr">
        <is>
          <t>متنوع</t>
        </is>
      </c>
      <c r="G630" t="inlineStr"/>
      <c r="H630" t="inlineStr">
        <is>
          <t>1,000.00</t>
        </is>
      </c>
      <c r="I630" t="inlineStr">
        <is>
          <t>أدوات صحية</t>
        </is>
      </c>
    </row>
    <row r="631">
      <c r="A631">
        <f>IMAGE("https://files.manuscdn.com/user_upload_by_module/session_file/310519663766182518/eNBzvUiNpIDaRVtm.png")</f>
        <v/>
      </c>
      <c r="B631" t="inlineStr">
        <is>
          <t>product_page100_item03</t>
        </is>
      </c>
      <c r="C631" t="inlineStr">
        <is>
          <t>Blocko</t>
        </is>
      </c>
      <c r="D631" t="inlineStr">
        <is>
          <t>N/A</t>
        </is>
      </c>
      <c r="E631" t="inlineStr"/>
      <c r="F631" t="inlineStr">
        <is>
          <t>متنوع</t>
        </is>
      </c>
      <c r="G631" t="inlineStr"/>
      <c r="H631" t="inlineStr">
        <is>
          <t>1,000.00</t>
        </is>
      </c>
      <c r="I631" t="inlineStr">
        <is>
          <t>أدوات صحية</t>
        </is>
      </c>
    </row>
    <row r="632">
      <c r="A632">
        <f>IMAGE("https://files.manuscdn.com/user_upload_by_module/session_file/310519663766182518/zuJCtjSCtWuYnvMu.png")</f>
        <v/>
      </c>
      <c r="B632" t="inlineStr">
        <is>
          <t>product_page100_item04</t>
        </is>
      </c>
      <c r="C632" t="inlineStr">
        <is>
          <t>Blocko</t>
        </is>
      </c>
      <c r="D632" t="inlineStr">
        <is>
          <t>N/A</t>
        </is>
      </c>
      <c r="E632" t="inlineStr"/>
      <c r="F632" t="inlineStr">
        <is>
          <t>متنوع</t>
        </is>
      </c>
      <c r="G632" t="inlineStr"/>
      <c r="H632" t="inlineStr">
        <is>
          <t>1,000.00</t>
        </is>
      </c>
      <c r="I632" t="inlineStr">
        <is>
          <t>أدوات صحية</t>
        </is>
      </c>
    </row>
    <row r="633">
      <c r="A633">
        <f>IMAGE("https://files.manuscdn.com/user_upload_by_module/session_file/310519663766182518/bMfhxpSMuNkhxRkT.png")</f>
        <v/>
      </c>
      <c r="B633" t="inlineStr">
        <is>
          <t>product_page100_item05</t>
        </is>
      </c>
      <c r="C633" t="inlineStr">
        <is>
          <t>Blocko</t>
        </is>
      </c>
      <c r="D633" t="inlineStr">
        <is>
          <t>N/A</t>
        </is>
      </c>
      <c r="E633" t="inlineStr"/>
      <c r="F633" t="inlineStr">
        <is>
          <t>متنوع</t>
        </is>
      </c>
      <c r="G633" t="inlineStr"/>
      <c r="H633" t="inlineStr">
        <is>
          <t>1,000.00</t>
        </is>
      </c>
      <c r="I633" t="inlineStr">
        <is>
          <t>أدوات صحية</t>
        </is>
      </c>
    </row>
    <row r="634">
      <c r="A634">
        <f>IMAGE("https://files.manuscdn.com/user_upload_by_module/session_file/310519663766182518/OKakWSwHOtmGTxKF.png")</f>
        <v/>
      </c>
      <c r="B634" t="inlineStr">
        <is>
          <t>product_page100_item06</t>
        </is>
      </c>
      <c r="C634" t="inlineStr">
        <is>
          <t>Blocko</t>
        </is>
      </c>
      <c r="D634" t="inlineStr">
        <is>
          <t>N/A</t>
        </is>
      </c>
      <c r="E634" t="inlineStr"/>
      <c r="F634" t="inlineStr">
        <is>
          <t>متنوع</t>
        </is>
      </c>
      <c r="G634" t="inlineStr"/>
      <c r="H634" t="inlineStr">
        <is>
          <t>1,000.00</t>
        </is>
      </c>
      <c r="I634" t="inlineStr">
        <is>
          <t>أدوات صحية</t>
        </is>
      </c>
    </row>
    <row r="635">
      <c r="A635">
        <f>IMAGE("https://files.manuscdn.com/user_upload_by_module/session_file/310519663766182518/xHnJOJQigNxJNHbU.png")</f>
        <v/>
      </c>
      <c r="B635" t="inlineStr">
        <is>
          <t>product_page100_item07</t>
        </is>
      </c>
      <c r="C635" t="inlineStr">
        <is>
          <t>Blocko</t>
        </is>
      </c>
      <c r="D635" t="inlineStr">
        <is>
          <t>N/A</t>
        </is>
      </c>
      <c r="E635" t="inlineStr"/>
      <c r="F635" t="inlineStr">
        <is>
          <t>متنوع</t>
        </is>
      </c>
      <c r="G635" t="inlineStr"/>
      <c r="H635" t="inlineStr">
        <is>
          <t>1,000.00</t>
        </is>
      </c>
      <c r="I635" t="inlineStr">
        <is>
          <t>أدوات صحية</t>
        </is>
      </c>
    </row>
    <row r="636">
      <c r="A636">
        <f>IMAGE("https://files.manuscdn.com/user_upload_by_module/session_file/310519663766182518/UGUnWhcujaQaMdWW.png")</f>
        <v/>
      </c>
      <c r="B636" t="inlineStr">
        <is>
          <t>product_page101_item00</t>
        </is>
      </c>
      <c r="C636" t="inlineStr">
        <is>
          <t>Blocko</t>
        </is>
      </c>
      <c r="D636" t="inlineStr">
        <is>
          <t>N/A</t>
        </is>
      </c>
      <c r="E636" t="inlineStr"/>
      <c r="F636" t="inlineStr">
        <is>
          <t>متنوع</t>
        </is>
      </c>
      <c r="G636" t="inlineStr"/>
      <c r="H636" t="inlineStr">
        <is>
          <t>1,000.00</t>
        </is>
      </c>
      <c r="I636" t="inlineStr">
        <is>
          <t>أدوات صحية</t>
        </is>
      </c>
    </row>
    <row r="637">
      <c r="A637">
        <f>IMAGE("https://files.manuscdn.com/user_upload_by_module/session_file/310519663766182518/HGJucxOjpJSRaXmz.png")</f>
        <v/>
      </c>
      <c r="B637" t="inlineStr">
        <is>
          <t>product_page101_item01</t>
        </is>
      </c>
      <c r="C637" t="inlineStr">
        <is>
          <t>Blocko</t>
        </is>
      </c>
      <c r="D637" t="inlineStr">
        <is>
          <t>N/A</t>
        </is>
      </c>
      <c r="E637" t="inlineStr"/>
      <c r="F637" t="inlineStr">
        <is>
          <t>متنوع</t>
        </is>
      </c>
      <c r="G637" t="inlineStr"/>
      <c r="H637" t="inlineStr">
        <is>
          <t>1,000.00</t>
        </is>
      </c>
      <c r="I637" t="inlineStr">
        <is>
          <t>أدوات صحية</t>
        </is>
      </c>
    </row>
    <row r="638">
      <c r="A638">
        <f>IMAGE("https://files.manuscdn.com/user_upload_by_module/session_file/310519663766182518/TIiCEDHZVTwFjCfP.png")</f>
        <v/>
      </c>
      <c r="B638" t="inlineStr">
        <is>
          <t>product_page101_item02</t>
        </is>
      </c>
      <c r="C638" t="inlineStr">
        <is>
          <t>Blocko</t>
        </is>
      </c>
      <c r="D638" t="inlineStr">
        <is>
          <t>N/A</t>
        </is>
      </c>
      <c r="E638" t="inlineStr"/>
      <c r="F638" t="inlineStr">
        <is>
          <t>متنوع</t>
        </is>
      </c>
      <c r="G638" t="inlineStr"/>
      <c r="H638" t="inlineStr">
        <is>
          <t>1,000.00</t>
        </is>
      </c>
      <c r="I638" t="inlineStr">
        <is>
          <t>أدوات صحية</t>
        </is>
      </c>
    </row>
    <row r="639">
      <c r="A639">
        <f>IMAGE("https://files.manuscdn.com/user_upload_by_module/session_file/310519663766182518/uwBdprrIIxAaGmqP.png")</f>
        <v/>
      </c>
      <c r="B639" t="inlineStr">
        <is>
          <t>product_page101_item03</t>
        </is>
      </c>
      <c r="C639" t="inlineStr">
        <is>
          <t>Blocko</t>
        </is>
      </c>
      <c r="D639" t="inlineStr">
        <is>
          <t>N/A</t>
        </is>
      </c>
      <c r="E639" t="inlineStr"/>
      <c r="F639" t="inlineStr">
        <is>
          <t>متنوع</t>
        </is>
      </c>
      <c r="G639" t="inlineStr"/>
      <c r="H639" t="inlineStr">
        <is>
          <t>1,000.00</t>
        </is>
      </c>
      <c r="I639" t="inlineStr">
        <is>
          <t>أدوات صحية</t>
        </is>
      </c>
    </row>
    <row r="640">
      <c r="A640">
        <f>IMAGE("https://files.manuscdn.com/user_upload_by_module/session_file/310519663766182518/yFCFOXwaFkwUTsYt.png")</f>
        <v/>
      </c>
      <c r="B640" t="inlineStr">
        <is>
          <t>product_page101_item04</t>
        </is>
      </c>
      <c r="C640" t="inlineStr">
        <is>
          <t>Blocko</t>
        </is>
      </c>
      <c r="D640" t="inlineStr">
        <is>
          <t>N/A</t>
        </is>
      </c>
      <c r="E640" t="inlineStr"/>
      <c r="F640" t="inlineStr">
        <is>
          <t>متنوع</t>
        </is>
      </c>
      <c r="G640" t="inlineStr"/>
      <c r="H640" t="inlineStr">
        <is>
          <t>1,000.00</t>
        </is>
      </c>
      <c r="I640" t="inlineStr">
        <is>
          <t>أدوات صحية</t>
        </is>
      </c>
    </row>
    <row r="641">
      <c r="A641">
        <f>IMAGE("https://files.manuscdn.com/user_upload_by_module/session_file/310519663766182518/irysyuDdBZQuBVtc.png")</f>
        <v/>
      </c>
      <c r="B641" t="inlineStr">
        <is>
          <t>product_page101_item05</t>
        </is>
      </c>
      <c r="C641" t="inlineStr">
        <is>
          <t>Blocko</t>
        </is>
      </c>
      <c r="D641" t="inlineStr">
        <is>
          <t>N/A</t>
        </is>
      </c>
      <c r="E641" t="inlineStr"/>
      <c r="F641" t="inlineStr">
        <is>
          <t>متنوع</t>
        </is>
      </c>
      <c r="G641" t="inlineStr"/>
      <c r="H641" t="inlineStr">
        <is>
          <t>1,000.00</t>
        </is>
      </c>
      <c r="I641" t="inlineStr">
        <is>
          <t>أدوات صحية</t>
        </is>
      </c>
    </row>
    <row r="642">
      <c r="A642">
        <f>IMAGE("https://files.manuscdn.com/user_upload_by_module/session_file/310519663766182518/sbRDkftjBoJTKpbq.png")</f>
        <v/>
      </c>
      <c r="B642" t="inlineStr">
        <is>
          <t>product_page101_item06</t>
        </is>
      </c>
      <c r="C642" t="inlineStr">
        <is>
          <t>Blocko</t>
        </is>
      </c>
      <c r="D642" t="inlineStr">
        <is>
          <t>N/A</t>
        </is>
      </c>
      <c r="E642" t="inlineStr"/>
      <c r="F642" t="inlineStr">
        <is>
          <t>متنوع</t>
        </is>
      </c>
      <c r="G642" t="inlineStr"/>
      <c r="H642" t="inlineStr">
        <is>
          <t>1,000.00</t>
        </is>
      </c>
      <c r="I642" t="inlineStr">
        <is>
          <t>أدوات صحية</t>
        </is>
      </c>
    </row>
    <row r="643">
      <c r="A643">
        <f>IMAGE("https://files.manuscdn.com/user_upload_by_module/session_file/310519663766182518/WwHtLcclUKVSvqMK.png")</f>
        <v/>
      </c>
      <c r="B643" t="inlineStr">
        <is>
          <t>product_page101_item07</t>
        </is>
      </c>
      <c r="C643" t="inlineStr">
        <is>
          <t>Blocko</t>
        </is>
      </c>
      <c r="D643" t="inlineStr">
        <is>
          <t>N/A</t>
        </is>
      </c>
      <c r="E643" t="inlineStr"/>
      <c r="F643" t="inlineStr">
        <is>
          <t>متنوع</t>
        </is>
      </c>
      <c r="G643" t="inlineStr"/>
      <c r="H643" t="inlineStr">
        <is>
          <t>1,000.00</t>
        </is>
      </c>
      <c r="I643" t="inlineStr">
        <is>
          <t>أدوات صحية</t>
        </is>
      </c>
    </row>
    <row r="644">
      <c r="A644">
        <f>IMAGE("https://files.manuscdn.com/user_upload_by_module/session_file/310519663766182518/UVxOZggGEUWoFrvq.png")</f>
        <v/>
      </c>
      <c r="B644" t="inlineStr">
        <is>
          <t>product_page102_item00</t>
        </is>
      </c>
      <c r="C644" t="inlineStr">
        <is>
          <t>Blocko</t>
        </is>
      </c>
      <c r="D644" t="inlineStr">
        <is>
          <t>N/A</t>
        </is>
      </c>
      <c r="E644" t="inlineStr"/>
      <c r="F644" t="inlineStr">
        <is>
          <t>متنوع</t>
        </is>
      </c>
      <c r="G644" t="inlineStr"/>
      <c r="H644" t="inlineStr">
        <is>
          <t>1,000.00</t>
        </is>
      </c>
      <c r="I644" t="inlineStr">
        <is>
          <t>أدوات صحية</t>
        </is>
      </c>
    </row>
    <row r="645">
      <c r="A645">
        <f>IMAGE("https://files.manuscdn.com/user_upload_by_module/session_file/310519663766182518/PxWAMSbFWVJjbNJG.png")</f>
        <v/>
      </c>
      <c r="B645" t="inlineStr">
        <is>
          <t>product_page102_item01</t>
        </is>
      </c>
      <c r="C645" t="inlineStr">
        <is>
          <t>Blocko</t>
        </is>
      </c>
      <c r="D645" t="inlineStr">
        <is>
          <t>N/A</t>
        </is>
      </c>
      <c r="E645" t="inlineStr"/>
      <c r="F645" t="inlineStr">
        <is>
          <t>متنوع</t>
        </is>
      </c>
      <c r="G645" t="inlineStr"/>
      <c r="H645" t="inlineStr">
        <is>
          <t>1,000.00</t>
        </is>
      </c>
      <c r="I645" t="inlineStr">
        <is>
          <t>أدوات صحية</t>
        </is>
      </c>
    </row>
    <row r="646">
      <c r="A646">
        <f>IMAGE("https://files.manuscdn.com/user_upload_by_module/session_file/310519663766182518/izUwgYAwkErLSosm.png")</f>
        <v/>
      </c>
      <c r="B646" t="inlineStr">
        <is>
          <t>product_page102_item02</t>
        </is>
      </c>
      <c r="C646" t="inlineStr">
        <is>
          <t>Blocko</t>
        </is>
      </c>
      <c r="D646" t="inlineStr">
        <is>
          <t>N/A</t>
        </is>
      </c>
      <c r="E646" t="inlineStr"/>
      <c r="F646" t="inlineStr">
        <is>
          <t>متنوع</t>
        </is>
      </c>
      <c r="G646" t="inlineStr"/>
      <c r="H646" t="inlineStr">
        <is>
          <t>1,000.00</t>
        </is>
      </c>
      <c r="I646" t="inlineStr">
        <is>
          <t>أدوات صحية</t>
        </is>
      </c>
    </row>
    <row r="647">
      <c r="A647">
        <f>IMAGE("https://files.manuscdn.com/user_upload_by_module/session_file/310519663766182518/OfdLMvNCKnrHojoJ.png")</f>
        <v/>
      </c>
      <c r="B647" t="inlineStr">
        <is>
          <t>product_page102_item03</t>
        </is>
      </c>
      <c r="C647" t="inlineStr">
        <is>
          <t>Blocko</t>
        </is>
      </c>
      <c r="D647" t="inlineStr">
        <is>
          <t>N/A</t>
        </is>
      </c>
      <c r="E647" t="inlineStr"/>
      <c r="F647" t="inlineStr">
        <is>
          <t>متنوع</t>
        </is>
      </c>
      <c r="G647" t="inlineStr"/>
      <c r="H647" t="inlineStr">
        <is>
          <t>1,000.00</t>
        </is>
      </c>
      <c r="I647" t="inlineStr">
        <is>
          <t>أدوات صحية</t>
        </is>
      </c>
    </row>
    <row r="648">
      <c r="A648">
        <f>IMAGE("https://files.manuscdn.com/user_upload_by_module/session_file/310519663766182518/oTTakrJxDJBbtoNl.png")</f>
        <v/>
      </c>
      <c r="B648" t="inlineStr">
        <is>
          <t>product_page102_item04</t>
        </is>
      </c>
      <c r="C648" t="inlineStr">
        <is>
          <t>Blocko</t>
        </is>
      </c>
      <c r="D648" t="inlineStr">
        <is>
          <t>N/A</t>
        </is>
      </c>
      <c r="E648" t="inlineStr"/>
      <c r="F648" t="inlineStr">
        <is>
          <t>متنوع</t>
        </is>
      </c>
      <c r="G648" t="inlineStr"/>
      <c r="H648" t="inlineStr">
        <is>
          <t>1,000.00</t>
        </is>
      </c>
      <c r="I648" t="inlineStr">
        <is>
          <t>أدوات صحية</t>
        </is>
      </c>
    </row>
    <row r="649">
      <c r="A649">
        <f>IMAGE("https://files.manuscdn.com/user_upload_by_module/session_file/310519663766182518/COGvEtVsitBpjXON.png")</f>
        <v/>
      </c>
      <c r="B649" t="inlineStr">
        <is>
          <t>product_page102_item05</t>
        </is>
      </c>
      <c r="C649" t="inlineStr">
        <is>
          <t>Blocko</t>
        </is>
      </c>
      <c r="D649" t="inlineStr">
        <is>
          <t>N/A</t>
        </is>
      </c>
      <c r="E649" t="inlineStr"/>
      <c r="F649" t="inlineStr">
        <is>
          <t>متنوع</t>
        </is>
      </c>
      <c r="G649" t="inlineStr"/>
      <c r="H649" t="inlineStr">
        <is>
          <t>1,000.00</t>
        </is>
      </c>
      <c r="I649" t="inlineStr">
        <is>
          <t>أدوات صحية</t>
        </is>
      </c>
    </row>
    <row r="650">
      <c r="A650">
        <f>IMAGE("https://files.manuscdn.com/user_upload_by_module/session_file/310519663766182518/CyZvCRMFCuDgJCWE.png")</f>
        <v/>
      </c>
      <c r="B650" t="inlineStr">
        <is>
          <t>product_page103_item00</t>
        </is>
      </c>
      <c r="C650" t="inlineStr">
        <is>
          <t>Blocko</t>
        </is>
      </c>
      <c r="D650" t="inlineStr">
        <is>
          <t>N/A</t>
        </is>
      </c>
      <c r="E650" t="inlineStr"/>
      <c r="F650" t="inlineStr">
        <is>
          <t>متنوع</t>
        </is>
      </c>
      <c r="G650" t="inlineStr"/>
      <c r="H650" t="inlineStr">
        <is>
          <t>1,000.00</t>
        </is>
      </c>
      <c r="I650" t="inlineStr">
        <is>
          <t>أدوات صحية</t>
        </is>
      </c>
    </row>
    <row r="651">
      <c r="A651">
        <f>IMAGE("https://files.manuscdn.com/user_upload_by_module/session_file/310519663766182518/lLxfEXrmrDnoUNaL.png")</f>
        <v/>
      </c>
      <c r="B651" t="inlineStr">
        <is>
          <t>product_page103_item01</t>
        </is>
      </c>
      <c r="C651" t="inlineStr">
        <is>
          <t>Blocko</t>
        </is>
      </c>
      <c r="D651" t="inlineStr">
        <is>
          <t>N/A</t>
        </is>
      </c>
      <c r="E651" t="inlineStr"/>
      <c r="F651" t="inlineStr">
        <is>
          <t>متنوع</t>
        </is>
      </c>
      <c r="G651" t="inlineStr"/>
      <c r="H651" t="inlineStr">
        <is>
          <t>1,000.00</t>
        </is>
      </c>
      <c r="I651" t="inlineStr">
        <is>
          <t>أدوات صحية</t>
        </is>
      </c>
    </row>
    <row r="652">
      <c r="A652">
        <f>IMAGE("https://files.manuscdn.com/user_upload_by_module/session_file/310519663766182518/DtIiFlXlaCKBLUgu.png")</f>
        <v/>
      </c>
      <c r="B652" t="inlineStr">
        <is>
          <t>product_page103_item02</t>
        </is>
      </c>
      <c r="C652" t="inlineStr">
        <is>
          <t>Blocko</t>
        </is>
      </c>
      <c r="D652" t="inlineStr">
        <is>
          <t>N/A</t>
        </is>
      </c>
      <c r="E652" t="inlineStr"/>
      <c r="F652" t="inlineStr">
        <is>
          <t>متنوع</t>
        </is>
      </c>
      <c r="G652" t="inlineStr"/>
      <c r="H652" t="inlineStr">
        <is>
          <t>1,000.00</t>
        </is>
      </c>
      <c r="I652" t="inlineStr">
        <is>
          <t>أدوات صحية</t>
        </is>
      </c>
    </row>
    <row r="653">
      <c r="A653">
        <f>IMAGE("https://files.manuscdn.com/user_upload_by_module/session_file/310519663766182518/YcuFiOZaHNDtwAkL.png")</f>
        <v/>
      </c>
      <c r="B653" t="inlineStr">
        <is>
          <t>product_page103_item03</t>
        </is>
      </c>
      <c r="C653" t="inlineStr">
        <is>
          <t>Blocko</t>
        </is>
      </c>
      <c r="D653" t="inlineStr">
        <is>
          <t>N/A</t>
        </is>
      </c>
      <c r="E653" t="inlineStr"/>
      <c r="F653" t="inlineStr">
        <is>
          <t>متنوع</t>
        </is>
      </c>
      <c r="G653" t="inlineStr"/>
      <c r="H653" t="inlineStr">
        <is>
          <t>1,000.00</t>
        </is>
      </c>
      <c r="I653" t="inlineStr">
        <is>
          <t>أدوات صحية</t>
        </is>
      </c>
    </row>
    <row r="654">
      <c r="A654">
        <f>IMAGE("https://files.manuscdn.com/user_upload_by_module/session_file/310519663766182518/zEJkDVkYkFbbIYBO.png")</f>
        <v/>
      </c>
      <c r="B654" t="inlineStr">
        <is>
          <t>product_page103_item04</t>
        </is>
      </c>
      <c r="C654" t="inlineStr">
        <is>
          <t>Blocko</t>
        </is>
      </c>
      <c r="D654" t="inlineStr">
        <is>
          <t>N/A</t>
        </is>
      </c>
      <c r="E654" t="inlineStr"/>
      <c r="F654" t="inlineStr">
        <is>
          <t>متنوع</t>
        </is>
      </c>
      <c r="G654" t="inlineStr"/>
      <c r="H654" t="inlineStr">
        <is>
          <t>1,000.00</t>
        </is>
      </c>
      <c r="I654" t="inlineStr">
        <is>
          <t>أدوات صحية</t>
        </is>
      </c>
    </row>
    <row r="655">
      <c r="A655">
        <f>IMAGE("https://files.manuscdn.com/user_upload_by_module/session_file/310519663766182518/BVRvkPyHsPOLqMIN.png")</f>
        <v/>
      </c>
      <c r="B655" t="inlineStr">
        <is>
          <t>product_page103_item05</t>
        </is>
      </c>
      <c r="C655" t="inlineStr">
        <is>
          <t>Blocko</t>
        </is>
      </c>
      <c r="D655" t="inlineStr">
        <is>
          <t>N/A</t>
        </is>
      </c>
      <c r="E655" t="inlineStr"/>
      <c r="F655" t="inlineStr">
        <is>
          <t>متنوع</t>
        </is>
      </c>
      <c r="G655" t="inlineStr"/>
      <c r="H655" t="inlineStr">
        <is>
          <t>1,000.00</t>
        </is>
      </c>
      <c r="I655" t="inlineStr">
        <is>
          <t>أدوات صحية</t>
        </is>
      </c>
    </row>
    <row r="656">
      <c r="A656">
        <f>IMAGE("https://files.manuscdn.com/user_upload_by_module/session_file/310519663766182518/CnhGLLeKVKdGdhvI.png")</f>
        <v/>
      </c>
      <c r="B656" t="inlineStr">
        <is>
          <t>product_page104_item00</t>
        </is>
      </c>
      <c r="C656" t="inlineStr">
        <is>
          <t>Blocko</t>
        </is>
      </c>
      <c r="D656" t="inlineStr">
        <is>
          <t>N/A</t>
        </is>
      </c>
      <c r="E656" t="inlineStr"/>
      <c r="F656" t="inlineStr">
        <is>
          <t>متنوع</t>
        </is>
      </c>
      <c r="G656" t="inlineStr"/>
      <c r="H656" t="inlineStr">
        <is>
          <t>1,000.00</t>
        </is>
      </c>
      <c r="I656" t="inlineStr">
        <is>
          <t>أدوات صحية</t>
        </is>
      </c>
    </row>
    <row r="657">
      <c r="A657">
        <f>IMAGE("https://files.manuscdn.com/user_upload_by_module/session_file/310519663766182518/rFRBypkPqyVnXogQ.png")</f>
        <v/>
      </c>
      <c r="B657" t="inlineStr">
        <is>
          <t>product_page104_item01</t>
        </is>
      </c>
      <c r="C657" t="inlineStr">
        <is>
          <t>Blocko</t>
        </is>
      </c>
      <c r="D657" t="inlineStr">
        <is>
          <t>N/A</t>
        </is>
      </c>
      <c r="E657" t="inlineStr"/>
      <c r="F657" t="inlineStr">
        <is>
          <t>متنوع</t>
        </is>
      </c>
      <c r="G657" t="inlineStr"/>
      <c r="H657" t="inlineStr">
        <is>
          <t>1,000.00</t>
        </is>
      </c>
      <c r="I657" t="inlineStr">
        <is>
          <t>أدوات صحية</t>
        </is>
      </c>
    </row>
    <row r="658">
      <c r="A658">
        <f>IMAGE("https://files.manuscdn.com/user_upload_by_module/session_file/310519663766182518/GSMlXRRuvSxDnbgR.png")</f>
        <v/>
      </c>
      <c r="B658" t="inlineStr">
        <is>
          <t>product_page104_item02</t>
        </is>
      </c>
      <c r="C658" t="inlineStr">
        <is>
          <t>Blocko</t>
        </is>
      </c>
      <c r="D658" t="inlineStr">
        <is>
          <t>N/A</t>
        </is>
      </c>
      <c r="E658" t="inlineStr"/>
      <c r="F658" t="inlineStr">
        <is>
          <t>متنوع</t>
        </is>
      </c>
      <c r="G658" t="inlineStr"/>
      <c r="H658" t="inlineStr">
        <is>
          <t>1,000.00</t>
        </is>
      </c>
      <c r="I658" t="inlineStr">
        <is>
          <t>أدوات صحية</t>
        </is>
      </c>
    </row>
    <row r="659">
      <c r="A659">
        <f>IMAGE("https://files.manuscdn.com/user_upload_by_module/session_file/310519663766182518/BRshrGbGNmbcrMNq.png")</f>
        <v/>
      </c>
      <c r="B659" t="inlineStr">
        <is>
          <t>product_page104_item03</t>
        </is>
      </c>
      <c r="C659" t="inlineStr">
        <is>
          <t>Blocko</t>
        </is>
      </c>
      <c r="D659" t="inlineStr">
        <is>
          <t>N/A</t>
        </is>
      </c>
      <c r="E659" t="inlineStr"/>
      <c r="F659" t="inlineStr">
        <is>
          <t>متنوع</t>
        </is>
      </c>
      <c r="G659" t="inlineStr"/>
      <c r="H659" t="inlineStr">
        <is>
          <t>1,000.00</t>
        </is>
      </c>
      <c r="I659" t="inlineStr">
        <is>
          <t>أدوات صحية</t>
        </is>
      </c>
    </row>
    <row r="660">
      <c r="A660">
        <f>IMAGE("https://files.manuscdn.com/user_upload_by_module/session_file/310519663766182518/rdorWgnrESoQbcht.png")</f>
        <v/>
      </c>
      <c r="B660" t="inlineStr">
        <is>
          <t>product_page104_item04</t>
        </is>
      </c>
      <c r="C660" t="inlineStr">
        <is>
          <t>Blocko</t>
        </is>
      </c>
      <c r="D660" t="inlineStr">
        <is>
          <t>N/A</t>
        </is>
      </c>
      <c r="E660" t="inlineStr"/>
      <c r="F660" t="inlineStr">
        <is>
          <t>متنوع</t>
        </is>
      </c>
      <c r="G660" t="inlineStr"/>
      <c r="H660" t="inlineStr">
        <is>
          <t>1,000.00</t>
        </is>
      </c>
      <c r="I660" t="inlineStr">
        <is>
          <t>أدوات صحية</t>
        </is>
      </c>
    </row>
    <row r="661">
      <c r="A661">
        <f>IMAGE("https://files.manuscdn.com/user_upload_by_module/session_file/310519663766182518/OMyxiyVlaEFXRLuI.png")</f>
        <v/>
      </c>
      <c r="B661" t="inlineStr">
        <is>
          <t>product_page104_item05</t>
        </is>
      </c>
      <c r="C661" t="inlineStr">
        <is>
          <t>Blocko</t>
        </is>
      </c>
      <c r="D661" t="inlineStr">
        <is>
          <t>N/A</t>
        </is>
      </c>
      <c r="E661" t="inlineStr"/>
      <c r="F661" t="inlineStr">
        <is>
          <t>متنوع</t>
        </is>
      </c>
      <c r="G661" t="inlineStr"/>
      <c r="H661" t="inlineStr">
        <is>
          <t>1,000.00</t>
        </is>
      </c>
      <c r="I661" t="inlineStr">
        <is>
          <t>أدوات صحية</t>
        </is>
      </c>
    </row>
    <row r="662">
      <c r="A662">
        <f>IMAGE("https://files.manuscdn.com/user_upload_by_module/session_file/310519663766182518/pQKpAQmpiRGuhIGe.png")</f>
        <v/>
      </c>
      <c r="B662" t="inlineStr">
        <is>
          <t>product_page104_item06</t>
        </is>
      </c>
      <c r="C662" t="inlineStr">
        <is>
          <t>Blocko</t>
        </is>
      </c>
      <c r="D662" t="inlineStr">
        <is>
          <t>N/A</t>
        </is>
      </c>
      <c r="E662" t="inlineStr"/>
      <c r="F662" t="inlineStr">
        <is>
          <t>متنوع</t>
        </is>
      </c>
      <c r="G662" t="inlineStr"/>
      <c r="H662" t="inlineStr">
        <is>
          <t>1,000.00</t>
        </is>
      </c>
      <c r="I662" t="inlineStr">
        <is>
          <t>أدوات صحية</t>
        </is>
      </c>
    </row>
    <row r="663">
      <c r="A663">
        <f>IMAGE("https://files.manuscdn.com/user_upload_by_module/session_file/310519663766182518/NhQHwvjdPtsfCWdZ.png")</f>
        <v/>
      </c>
      <c r="B663" t="inlineStr">
        <is>
          <t>product_page104_item07</t>
        </is>
      </c>
      <c r="C663" t="inlineStr">
        <is>
          <t>Blocko</t>
        </is>
      </c>
      <c r="D663" t="inlineStr">
        <is>
          <t>N/A</t>
        </is>
      </c>
      <c r="E663" t="inlineStr"/>
      <c r="F663" t="inlineStr">
        <is>
          <t>متنوع</t>
        </is>
      </c>
      <c r="G663" t="inlineStr"/>
      <c r="H663" t="inlineStr">
        <is>
          <t>1,000.00</t>
        </is>
      </c>
      <c r="I663" t="inlineStr">
        <is>
          <t>أدوات صحية</t>
        </is>
      </c>
    </row>
    <row r="664">
      <c r="A664">
        <f>IMAGE("https://files.manuscdn.com/user_upload_by_module/session_file/310519663766182518/EdOqpBzeRRuGUbXE.png")</f>
        <v/>
      </c>
      <c r="B664" t="inlineStr">
        <is>
          <t>product_page104_item08</t>
        </is>
      </c>
      <c r="C664" t="inlineStr">
        <is>
          <t>Blocko</t>
        </is>
      </c>
      <c r="D664" t="inlineStr">
        <is>
          <t>N/A</t>
        </is>
      </c>
      <c r="E664" t="inlineStr"/>
      <c r="F664" t="inlineStr">
        <is>
          <t>متنوع</t>
        </is>
      </c>
      <c r="G664" t="inlineStr"/>
      <c r="H664" t="inlineStr">
        <is>
          <t>1,000.00</t>
        </is>
      </c>
      <c r="I664" t="inlineStr">
        <is>
          <t>أدوات صحية</t>
        </is>
      </c>
    </row>
    <row r="665">
      <c r="A665">
        <f>IMAGE("https://files.manuscdn.com/user_upload_by_module/session_file/310519663766182518/etDHidSPDiygVKYo.png")</f>
        <v/>
      </c>
      <c r="B665" t="inlineStr">
        <is>
          <t>product_page104_item09</t>
        </is>
      </c>
      <c r="C665" t="inlineStr">
        <is>
          <t>Blocko</t>
        </is>
      </c>
      <c r="D665" t="inlineStr">
        <is>
          <t>N/A</t>
        </is>
      </c>
      <c r="E665" t="inlineStr"/>
      <c r="F665" t="inlineStr">
        <is>
          <t>متنوع</t>
        </is>
      </c>
      <c r="G665" t="inlineStr"/>
      <c r="H665" t="inlineStr">
        <is>
          <t>1,000.00</t>
        </is>
      </c>
      <c r="I665" t="inlineStr">
        <is>
          <t>أدوات صحية</t>
        </is>
      </c>
    </row>
    <row r="666">
      <c r="A666">
        <f>IMAGE("https://files.manuscdn.com/user_upload_by_module/session_file/310519663766182518/eMLAycRDDlOfhwsf.png")</f>
        <v/>
      </c>
      <c r="B666" t="inlineStr">
        <is>
          <t>product_page104_item10</t>
        </is>
      </c>
      <c r="C666" t="inlineStr">
        <is>
          <t>Blocko</t>
        </is>
      </c>
      <c r="D666" t="inlineStr">
        <is>
          <t>N/A</t>
        </is>
      </c>
      <c r="E666" t="inlineStr"/>
      <c r="F666" t="inlineStr">
        <is>
          <t>متنوع</t>
        </is>
      </c>
      <c r="G666" t="inlineStr"/>
      <c r="H666" t="inlineStr">
        <is>
          <t>1,000.00</t>
        </is>
      </c>
      <c r="I666" t="inlineStr">
        <is>
          <t>أدوات صحية</t>
        </is>
      </c>
    </row>
    <row r="667">
      <c r="A667">
        <f>IMAGE("https://files.manuscdn.com/user_upload_by_module/session_file/310519663766182518/jZAFqNgtnoMGAHxS.png")</f>
        <v/>
      </c>
      <c r="B667" t="inlineStr">
        <is>
          <t>product_page104_item11</t>
        </is>
      </c>
      <c r="C667" t="inlineStr">
        <is>
          <t>Blocko</t>
        </is>
      </c>
      <c r="D667" t="inlineStr">
        <is>
          <t>N/A</t>
        </is>
      </c>
      <c r="E667" t="inlineStr"/>
      <c r="F667" t="inlineStr">
        <is>
          <t>متنوع</t>
        </is>
      </c>
      <c r="G667" t="inlineStr"/>
      <c r="H667" t="inlineStr">
        <is>
          <t>1,000.00</t>
        </is>
      </c>
      <c r="I667" t="inlineStr">
        <is>
          <t>أدوات صحية</t>
        </is>
      </c>
    </row>
    <row r="668">
      <c r="A668">
        <f>IMAGE("https://files.manuscdn.com/user_upload_by_module/session_file/310519663766182518/snTBfSEQsXHprqKb.png")</f>
        <v/>
      </c>
      <c r="B668" t="inlineStr">
        <is>
          <t>product_page105_item00</t>
        </is>
      </c>
      <c r="C668" t="inlineStr">
        <is>
          <t>Blocko</t>
        </is>
      </c>
      <c r="D668" t="inlineStr">
        <is>
          <t>N/A</t>
        </is>
      </c>
      <c r="E668" t="inlineStr"/>
      <c r="F668" t="inlineStr">
        <is>
          <t>متنوع</t>
        </is>
      </c>
      <c r="G668" t="inlineStr"/>
      <c r="H668" t="inlineStr">
        <is>
          <t>1,000.00</t>
        </is>
      </c>
      <c r="I668" t="inlineStr">
        <is>
          <t>أدوات صحية</t>
        </is>
      </c>
    </row>
    <row r="669">
      <c r="A669">
        <f>IMAGE("https://files.manuscdn.com/user_upload_by_module/session_file/310519663766182518/HgczNVIeWzpyJloE.png")</f>
        <v/>
      </c>
      <c r="B669" t="inlineStr">
        <is>
          <t>product_page105_item01</t>
        </is>
      </c>
      <c r="C669" t="inlineStr">
        <is>
          <t>Blocko</t>
        </is>
      </c>
      <c r="D669" t="inlineStr">
        <is>
          <t>N/A</t>
        </is>
      </c>
      <c r="E669" t="inlineStr"/>
      <c r="F669" t="inlineStr">
        <is>
          <t>متنوع</t>
        </is>
      </c>
      <c r="G669" t="inlineStr"/>
      <c r="H669" t="inlineStr">
        <is>
          <t>1,000.00</t>
        </is>
      </c>
      <c r="I669" t="inlineStr">
        <is>
          <t>أدوات صحية</t>
        </is>
      </c>
    </row>
    <row r="670">
      <c r="A670">
        <f>IMAGE("https://files.manuscdn.com/user_upload_by_module/session_file/310519663766182518/xFVRirGmhjtlJmWr.png")</f>
        <v/>
      </c>
      <c r="B670" t="inlineStr">
        <is>
          <t>product_page105_item02</t>
        </is>
      </c>
      <c r="C670" t="inlineStr">
        <is>
          <t>Blocko</t>
        </is>
      </c>
      <c r="D670" t="inlineStr">
        <is>
          <t>N/A</t>
        </is>
      </c>
      <c r="E670" t="inlineStr"/>
      <c r="F670" t="inlineStr">
        <is>
          <t>متنوع</t>
        </is>
      </c>
      <c r="G670" t="inlineStr"/>
      <c r="H670" t="inlineStr">
        <is>
          <t>1,000.00</t>
        </is>
      </c>
      <c r="I670" t="inlineStr">
        <is>
          <t>أدوات صحية</t>
        </is>
      </c>
    </row>
    <row r="671">
      <c r="A671">
        <f>IMAGE("https://files.manuscdn.com/user_upload_by_module/session_file/310519663766182518/FePjZFZsWGLFARnj.png")</f>
        <v/>
      </c>
      <c r="B671" t="inlineStr">
        <is>
          <t>product_page105_item03</t>
        </is>
      </c>
      <c r="C671" t="inlineStr">
        <is>
          <t>Blocko</t>
        </is>
      </c>
      <c r="D671" t="inlineStr">
        <is>
          <t>N/A</t>
        </is>
      </c>
      <c r="E671" t="inlineStr"/>
      <c r="F671" t="inlineStr">
        <is>
          <t>متنوع</t>
        </is>
      </c>
      <c r="G671" t="inlineStr"/>
      <c r="H671" t="inlineStr">
        <is>
          <t>1,000.00</t>
        </is>
      </c>
      <c r="I671" t="inlineStr">
        <is>
          <t>أدوات صحية</t>
        </is>
      </c>
    </row>
    <row r="672">
      <c r="A672">
        <f>IMAGE("https://files.manuscdn.com/user_upload_by_module/session_file/310519663766182518/mAkaMtBZMZdPXHHD.png")</f>
        <v/>
      </c>
      <c r="B672" t="inlineStr">
        <is>
          <t>product_page105_item04</t>
        </is>
      </c>
      <c r="C672" t="inlineStr">
        <is>
          <t>Blocko</t>
        </is>
      </c>
      <c r="D672" t="inlineStr">
        <is>
          <t>N/A</t>
        </is>
      </c>
      <c r="E672" t="inlineStr"/>
      <c r="F672" t="inlineStr">
        <is>
          <t>متنوع</t>
        </is>
      </c>
      <c r="G672" t="inlineStr"/>
      <c r="H672" t="inlineStr">
        <is>
          <t>1,000.00</t>
        </is>
      </c>
      <c r="I672" t="inlineStr">
        <is>
          <t>أدوات صحية</t>
        </is>
      </c>
    </row>
    <row r="673">
      <c r="A673">
        <f>IMAGE("https://files.manuscdn.com/user_upload_by_module/session_file/310519663766182518/SVoprNrDKpygbBaw.png")</f>
        <v/>
      </c>
      <c r="B673" t="inlineStr">
        <is>
          <t>product_page105_item05</t>
        </is>
      </c>
      <c r="C673" t="inlineStr">
        <is>
          <t>Blocko</t>
        </is>
      </c>
      <c r="D673" t="inlineStr">
        <is>
          <t>N/A</t>
        </is>
      </c>
      <c r="E673" t="inlineStr"/>
      <c r="F673" t="inlineStr">
        <is>
          <t>متنوع</t>
        </is>
      </c>
      <c r="G673" t="inlineStr"/>
      <c r="H673" t="inlineStr">
        <is>
          <t>1,000.00</t>
        </is>
      </c>
      <c r="I673" t="inlineStr">
        <is>
          <t>أدوات صحية</t>
        </is>
      </c>
    </row>
    <row r="674">
      <c r="A674">
        <f>IMAGE("https://files.manuscdn.com/user_upload_by_module/session_file/310519663766182518/QbxtPyPgKdyPSwod.png")</f>
        <v/>
      </c>
      <c r="B674" t="inlineStr">
        <is>
          <t>product_page106_item00</t>
        </is>
      </c>
      <c r="C674" t="inlineStr">
        <is>
          <t>Blocko</t>
        </is>
      </c>
      <c r="D674" t="inlineStr">
        <is>
          <t>N/A</t>
        </is>
      </c>
      <c r="E674" t="inlineStr"/>
      <c r="F674" t="inlineStr">
        <is>
          <t>متنوع</t>
        </is>
      </c>
      <c r="G674" t="inlineStr"/>
      <c r="H674" t="inlineStr">
        <is>
          <t>1,000.00</t>
        </is>
      </c>
      <c r="I674" t="inlineStr">
        <is>
          <t>أدوات صحية</t>
        </is>
      </c>
    </row>
    <row r="675">
      <c r="A675">
        <f>IMAGE("https://files.manuscdn.com/user_upload_by_module/session_file/310519663766182518/yZwMApgelbmjgDYa.png")</f>
        <v/>
      </c>
      <c r="B675" t="inlineStr">
        <is>
          <t>product_page106_item01</t>
        </is>
      </c>
      <c r="C675" t="inlineStr">
        <is>
          <t>Blocko</t>
        </is>
      </c>
      <c r="D675" t="inlineStr">
        <is>
          <t>N/A</t>
        </is>
      </c>
      <c r="E675" t="inlineStr"/>
      <c r="F675" t="inlineStr">
        <is>
          <t>متنوع</t>
        </is>
      </c>
      <c r="G675" t="inlineStr"/>
      <c r="H675" t="inlineStr">
        <is>
          <t>1,000.00</t>
        </is>
      </c>
      <c r="I675" t="inlineStr">
        <is>
          <t>أدوات صحية</t>
        </is>
      </c>
    </row>
    <row r="676">
      <c r="A676">
        <f>IMAGE("https://files.manuscdn.com/user_upload_by_module/session_file/310519663766182518/sIHqdcOJWmBMAslY.png")</f>
        <v/>
      </c>
      <c r="B676" t="inlineStr">
        <is>
          <t>product_page106_item02</t>
        </is>
      </c>
      <c r="C676" t="inlineStr">
        <is>
          <t>Blocko</t>
        </is>
      </c>
      <c r="D676" t="inlineStr">
        <is>
          <t>N/A</t>
        </is>
      </c>
      <c r="E676" t="inlineStr"/>
      <c r="F676" t="inlineStr">
        <is>
          <t>متنوع</t>
        </is>
      </c>
      <c r="G676" t="inlineStr"/>
      <c r="H676" t="inlineStr">
        <is>
          <t>1,000.00</t>
        </is>
      </c>
      <c r="I676" t="inlineStr">
        <is>
          <t>أدوات صحية</t>
        </is>
      </c>
    </row>
    <row r="677">
      <c r="A677">
        <f>IMAGE("https://files.manuscdn.com/user_upload_by_module/session_file/310519663766182518/reEZHXqgilZRrUQt.png")</f>
        <v/>
      </c>
      <c r="B677" t="inlineStr">
        <is>
          <t>product_page106_item03</t>
        </is>
      </c>
      <c r="C677" t="inlineStr">
        <is>
          <t>Blocko</t>
        </is>
      </c>
      <c r="D677" t="inlineStr">
        <is>
          <t>N/A</t>
        </is>
      </c>
      <c r="E677" t="inlineStr"/>
      <c r="F677" t="inlineStr">
        <is>
          <t>متنوع</t>
        </is>
      </c>
      <c r="G677" t="inlineStr"/>
      <c r="H677" t="inlineStr">
        <is>
          <t>1,000.00</t>
        </is>
      </c>
      <c r="I677" t="inlineStr">
        <is>
          <t>أدوات صحية</t>
        </is>
      </c>
    </row>
    <row r="678">
      <c r="A678">
        <f>IMAGE("https://files.manuscdn.com/user_upload_by_module/session_file/310519663766182518/pJFZruqCIlCobUgb.png")</f>
        <v/>
      </c>
      <c r="B678" t="inlineStr">
        <is>
          <t>product_page106_item04</t>
        </is>
      </c>
      <c r="C678" t="inlineStr">
        <is>
          <t>Blocko</t>
        </is>
      </c>
      <c r="D678" t="inlineStr">
        <is>
          <t>N/A</t>
        </is>
      </c>
      <c r="E678" t="inlineStr"/>
      <c r="F678" t="inlineStr">
        <is>
          <t>متنوع</t>
        </is>
      </c>
      <c r="G678" t="inlineStr"/>
      <c r="H678" t="inlineStr">
        <is>
          <t>1,000.00</t>
        </is>
      </c>
      <c r="I678" t="inlineStr">
        <is>
          <t>أدوات صحية</t>
        </is>
      </c>
    </row>
    <row r="679">
      <c r="A679">
        <f>IMAGE("https://files.manuscdn.com/user_upload_by_module/session_file/310519663766182518/bddgeOtBIJGPSbyS.png")</f>
        <v/>
      </c>
      <c r="B679" t="inlineStr">
        <is>
          <t>product_page106_item05</t>
        </is>
      </c>
      <c r="C679" t="inlineStr">
        <is>
          <t>Blocko</t>
        </is>
      </c>
      <c r="D679" t="inlineStr">
        <is>
          <t>N/A</t>
        </is>
      </c>
      <c r="E679" t="inlineStr"/>
      <c r="F679" t="inlineStr">
        <is>
          <t>متنوع</t>
        </is>
      </c>
      <c r="G679" t="inlineStr"/>
      <c r="H679" t="inlineStr">
        <is>
          <t>1,000.00</t>
        </is>
      </c>
      <c r="I679" t="inlineStr">
        <is>
          <t>أدوات صحية</t>
        </is>
      </c>
    </row>
    <row r="680">
      <c r="A680">
        <f>IMAGE("https://files.manuscdn.com/user_upload_by_module/session_file/310519663766182518/cHLecuwGTiXqsyyH.png")</f>
        <v/>
      </c>
      <c r="B680" t="inlineStr">
        <is>
          <t>product_page107_item00</t>
        </is>
      </c>
      <c r="C680" t="inlineStr">
        <is>
          <t>Blocko</t>
        </is>
      </c>
      <c r="D680" t="inlineStr">
        <is>
          <t>N/A</t>
        </is>
      </c>
      <c r="E680" t="inlineStr"/>
      <c r="F680" t="inlineStr">
        <is>
          <t>متنوع</t>
        </is>
      </c>
      <c r="G680" t="inlineStr"/>
      <c r="H680" t="inlineStr">
        <is>
          <t>1,000.00</t>
        </is>
      </c>
      <c r="I680" t="inlineStr">
        <is>
          <t>أدوات صحية</t>
        </is>
      </c>
    </row>
    <row r="681">
      <c r="A681">
        <f>IMAGE("https://files.manuscdn.com/user_upload_by_module/session_file/310519663766182518/NJRJktsADaWHvyuX.png")</f>
        <v/>
      </c>
      <c r="B681" t="inlineStr">
        <is>
          <t>product_page107_item01</t>
        </is>
      </c>
      <c r="C681" t="inlineStr">
        <is>
          <t>Blocko</t>
        </is>
      </c>
      <c r="D681" t="inlineStr">
        <is>
          <t>N/A</t>
        </is>
      </c>
      <c r="E681" t="inlineStr"/>
      <c r="F681" t="inlineStr">
        <is>
          <t>متنوع</t>
        </is>
      </c>
      <c r="G681" t="inlineStr"/>
      <c r="H681" t="inlineStr">
        <is>
          <t>1,000.00</t>
        </is>
      </c>
      <c r="I681" t="inlineStr">
        <is>
          <t>أدوات صحية</t>
        </is>
      </c>
    </row>
    <row r="682">
      <c r="A682">
        <f>IMAGE("https://files.manuscdn.com/user_upload_by_module/session_file/310519663766182518/cLoPzYxtKarOjPBu.png")</f>
        <v/>
      </c>
      <c r="B682" t="inlineStr">
        <is>
          <t>product_page107_item02</t>
        </is>
      </c>
      <c r="C682" t="inlineStr">
        <is>
          <t>Blocko</t>
        </is>
      </c>
      <c r="D682" t="inlineStr">
        <is>
          <t>N/A</t>
        </is>
      </c>
      <c r="E682" t="inlineStr"/>
      <c r="F682" t="inlineStr">
        <is>
          <t>متنوع</t>
        </is>
      </c>
      <c r="G682" t="inlineStr"/>
      <c r="H682" t="inlineStr">
        <is>
          <t>1,000.00</t>
        </is>
      </c>
      <c r="I682" t="inlineStr">
        <is>
          <t>أدوات صحية</t>
        </is>
      </c>
    </row>
    <row r="683">
      <c r="A683">
        <f>IMAGE("https://files.manuscdn.com/user_upload_by_module/session_file/310519663766182518/DVsQfQmwNiWgGluh.png")</f>
        <v/>
      </c>
      <c r="B683" t="inlineStr">
        <is>
          <t>product_page107_item03</t>
        </is>
      </c>
      <c r="C683" t="inlineStr">
        <is>
          <t>Blocko</t>
        </is>
      </c>
      <c r="D683" t="inlineStr">
        <is>
          <t>N/A</t>
        </is>
      </c>
      <c r="E683" t="inlineStr"/>
      <c r="F683" t="inlineStr">
        <is>
          <t>متنوع</t>
        </is>
      </c>
      <c r="G683" t="inlineStr"/>
      <c r="H683" t="inlineStr">
        <is>
          <t>1,000.00</t>
        </is>
      </c>
      <c r="I683" t="inlineStr">
        <is>
          <t>أدوات صحية</t>
        </is>
      </c>
    </row>
    <row r="684">
      <c r="A684">
        <f>IMAGE("https://files.manuscdn.com/user_upload_by_module/session_file/310519663766182518/PmkcXoXuKDydyflh.png")</f>
        <v/>
      </c>
      <c r="B684" t="inlineStr">
        <is>
          <t>product_page107_item04</t>
        </is>
      </c>
      <c r="C684" t="inlineStr">
        <is>
          <t>Blocko</t>
        </is>
      </c>
      <c r="D684" t="inlineStr">
        <is>
          <t>N/A</t>
        </is>
      </c>
      <c r="E684" t="inlineStr"/>
      <c r="F684" t="inlineStr">
        <is>
          <t>متنوع</t>
        </is>
      </c>
      <c r="G684" t="inlineStr"/>
      <c r="H684" t="inlineStr">
        <is>
          <t>1,000.00</t>
        </is>
      </c>
      <c r="I684" t="inlineStr">
        <is>
          <t>أدوات صحية</t>
        </is>
      </c>
    </row>
    <row r="685">
      <c r="A685">
        <f>IMAGE("https://files.manuscdn.com/user_upload_by_module/session_file/310519663766182518/zyJoiRidFymBcPhW.png")</f>
        <v/>
      </c>
      <c r="B685" t="inlineStr">
        <is>
          <t>product_page107_item05</t>
        </is>
      </c>
      <c r="C685" t="inlineStr">
        <is>
          <t>Blocko</t>
        </is>
      </c>
      <c r="D685" t="inlineStr">
        <is>
          <t>N/A</t>
        </is>
      </c>
      <c r="E685" t="inlineStr"/>
      <c r="F685" t="inlineStr">
        <is>
          <t>متنوع</t>
        </is>
      </c>
      <c r="G685" t="inlineStr"/>
      <c r="H685" t="inlineStr">
        <is>
          <t>1,000.00</t>
        </is>
      </c>
      <c r="I685" t="inlineStr">
        <is>
          <t>أدوات صحية</t>
        </is>
      </c>
    </row>
    <row r="686">
      <c r="A686">
        <f>IMAGE("https://files.manuscdn.com/user_upload_by_module/session_file/310519663766182518/spLQUNAKcIabgeRq.png")</f>
        <v/>
      </c>
      <c r="B686" t="inlineStr">
        <is>
          <t>product_page108_item00</t>
        </is>
      </c>
      <c r="C686" t="inlineStr">
        <is>
          <t>Blocko</t>
        </is>
      </c>
      <c r="D686" t="inlineStr">
        <is>
          <t>N/A</t>
        </is>
      </c>
      <c r="E686" t="inlineStr"/>
      <c r="F686" t="inlineStr">
        <is>
          <t>متنوع</t>
        </is>
      </c>
      <c r="G686" t="inlineStr"/>
      <c r="H686" t="inlineStr">
        <is>
          <t>1,000.00</t>
        </is>
      </c>
      <c r="I686" t="inlineStr">
        <is>
          <t>أدوات صحية</t>
        </is>
      </c>
    </row>
    <row r="687">
      <c r="A687">
        <f>IMAGE("https://files.manuscdn.com/user_upload_by_module/session_file/310519663766182518/OIUkYucuPHGGiRyO.png")</f>
        <v/>
      </c>
      <c r="B687" t="inlineStr">
        <is>
          <t>product_page108_item01</t>
        </is>
      </c>
      <c r="C687" t="inlineStr">
        <is>
          <t>Blocko</t>
        </is>
      </c>
      <c r="D687" t="inlineStr">
        <is>
          <t>N/A</t>
        </is>
      </c>
      <c r="E687" t="inlineStr"/>
      <c r="F687" t="inlineStr">
        <is>
          <t>متنوع</t>
        </is>
      </c>
      <c r="G687" t="inlineStr"/>
      <c r="H687" t="inlineStr">
        <is>
          <t>1,000.00</t>
        </is>
      </c>
      <c r="I687" t="inlineStr">
        <is>
          <t>أدوات صحية</t>
        </is>
      </c>
    </row>
    <row r="688">
      <c r="A688">
        <f>IMAGE("https://files.manuscdn.com/user_upload_by_module/session_file/310519663766182518/lzSBXVcCSbYUWrsp.png")</f>
        <v/>
      </c>
      <c r="B688" t="inlineStr">
        <is>
          <t>product_page108_item02</t>
        </is>
      </c>
      <c r="C688" t="inlineStr">
        <is>
          <t>Blocko</t>
        </is>
      </c>
      <c r="D688" t="inlineStr">
        <is>
          <t>N/A</t>
        </is>
      </c>
      <c r="E688" t="inlineStr"/>
      <c r="F688" t="inlineStr">
        <is>
          <t>متنوع</t>
        </is>
      </c>
      <c r="G688" t="inlineStr"/>
      <c r="H688" t="inlineStr">
        <is>
          <t>1,000.00</t>
        </is>
      </c>
      <c r="I688" t="inlineStr">
        <is>
          <t>أدوات صحية</t>
        </is>
      </c>
    </row>
    <row r="689">
      <c r="A689">
        <f>IMAGE("https://files.manuscdn.com/user_upload_by_module/session_file/310519663766182518/xgkBPMUNXJqsGaSM.png")</f>
        <v/>
      </c>
      <c r="B689" t="inlineStr">
        <is>
          <t>product_page108_item03</t>
        </is>
      </c>
      <c r="C689" t="inlineStr">
        <is>
          <t>Blocko</t>
        </is>
      </c>
      <c r="D689" t="inlineStr">
        <is>
          <t>N/A</t>
        </is>
      </c>
      <c r="E689" t="inlineStr"/>
      <c r="F689" t="inlineStr">
        <is>
          <t>متنوع</t>
        </is>
      </c>
      <c r="G689" t="inlineStr"/>
      <c r="H689" t="inlineStr">
        <is>
          <t>1,000.00</t>
        </is>
      </c>
      <c r="I689" t="inlineStr">
        <is>
          <t>أدوات صحية</t>
        </is>
      </c>
    </row>
    <row r="690">
      <c r="A690">
        <f>IMAGE("https://files.manuscdn.com/user_upload_by_module/session_file/310519663766182518/EnVCOhvuVAdEQUIV.png")</f>
        <v/>
      </c>
      <c r="B690" t="inlineStr">
        <is>
          <t>product_page109_item00</t>
        </is>
      </c>
      <c r="C690" t="inlineStr">
        <is>
          <t>Blocko</t>
        </is>
      </c>
      <c r="D690" t="inlineStr">
        <is>
          <t>N/A</t>
        </is>
      </c>
      <c r="E690" t="inlineStr"/>
      <c r="F690" t="inlineStr">
        <is>
          <t>متنوع</t>
        </is>
      </c>
      <c r="G690" t="inlineStr"/>
      <c r="H690" t="inlineStr">
        <is>
          <t>1,000.00</t>
        </is>
      </c>
      <c r="I690" t="inlineStr">
        <is>
          <t>أدوات صحية</t>
        </is>
      </c>
    </row>
    <row r="691">
      <c r="A691">
        <f>IMAGE("https://files.manuscdn.com/user_upload_by_module/session_file/310519663766182518/jNevyWyEYvSXRcBC.png")</f>
        <v/>
      </c>
      <c r="B691" t="inlineStr">
        <is>
          <t>product_page109_item01</t>
        </is>
      </c>
      <c r="C691" t="inlineStr">
        <is>
          <t>Blocko</t>
        </is>
      </c>
      <c r="D691" t="inlineStr">
        <is>
          <t>N/A</t>
        </is>
      </c>
      <c r="E691" t="inlineStr"/>
      <c r="F691" t="inlineStr">
        <is>
          <t>متنوع</t>
        </is>
      </c>
      <c r="G691" t="inlineStr"/>
      <c r="H691" t="inlineStr">
        <is>
          <t>1,000.00</t>
        </is>
      </c>
      <c r="I691" t="inlineStr">
        <is>
          <t>أدوات صحية</t>
        </is>
      </c>
    </row>
    <row r="692">
      <c r="A692">
        <f>IMAGE("https://files.manuscdn.com/user_upload_by_module/session_file/310519663766182518/qPCfrPdpJfBWSQtt.png")</f>
        <v/>
      </c>
      <c r="B692" t="inlineStr">
        <is>
          <t>product_page109_item02</t>
        </is>
      </c>
      <c r="C692" t="inlineStr">
        <is>
          <t>Blocko</t>
        </is>
      </c>
      <c r="D692" t="inlineStr">
        <is>
          <t>N/A</t>
        </is>
      </c>
      <c r="E692" t="inlineStr"/>
      <c r="F692" t="inlineStr">
        <is>
          <t>متنوع</t>
        </is>
      </c>
      <c r="G692" t="inlineStr"/>
      <c r="H692" t="inlineStr">
        <is>
          <t>1,000.00</t>
        </is>
      </c>
      <c r="I692" t="inlineStr">
        <is>
          <t>أدوات صحية</t>
        </is>
      </c>
    </row>
    <row r="693">
      <c r="A693">
        <f>IMAGE("https://files.manuscdn.com/user_upload_by_module/session_file/310519663766182518/pvHpzsyuZiNlvDeQ.png")</f>
        <v/>
      </c>
      <c r="B693" t="inlineStr">
        <is>
          <t>product_page109_item03</t>
        </is>
      </c>
      <c r="C693" t="inlineStr">
        <is>
          <t>Blocko</t>
        </is>
      </c>
      <c r="D693" t="inlineStr">
        <is>
          <t>N/A</t>
        </is>
      </c>
      <c r="E693" t="inlineStr"/>
      <c r="F693" t="inlineStr">
        <is>
          <t>متنوع</t>
        </is>
      </c>
      <c r="G693" t="inlineStr"/>
      <c r="H693" t="inlineStr">
        <is>
          <t>1,000.00</t>
        </is>
      </c>
      <c r="I693" t="inlineStr">
        <is>
          <t>أدوات صحية</t>
        </is>
      </c>
    </row>
    <row r="694">
      <c r="A694">
        <f>IMAGE("https://files.manuscdn.com/user_upload_by_module/session_file/310519663766182518/OrqTViHZKAtKYmbo.png")</f>
        <v/>
      </c>
      <c r="B694" t="inlineStr">
        <is>
          <t>product_page109_item04</t>
        </is>
      </c>
      <c r="C694" t="inlineStr">
        <is>
          <t>Blocko</t>
        </is>
      </c>
      <c r="D694" t="inlineStr">
        <is>
          <t>N/A</t>
        </is>
      </c>
      <c r="E694" t="inlineStr"/>
      <c r="F694" t="inlineStr">
        <is>
          <t>متنوع</t>
        </is>
      </c>
      <c r="G694" t="inlineStr"/>
      <c r="H694" t="inlineStr">
        <is>
          <t>1,000.00</t>
        </is>
      </c>
      <c r="I694" t="inlineStr">
        <is>
          <t>أدوات صحية</t>
        </is>
      </c>
    </row>
    <row r="695">
      <c r="A695">
        <f>IMAGE("https://files.manuscdn.com/user_upload_by_module/session_file/310519663766182518/UUNdUswfglePtwjR.png")</f>
        <v/>
      </c>
      <c r="B695" t="inlineStr">
        <is>
          <t>product_page109_item05</t>
        </is>
      </c>
      <c r="C695" t="inlineStr">
        <is>
          <t>Blocko</t>
        </is>
      </c>
      <c r="D695" t="inlineStr">
        <is>
          <t>N/A</t>
        </is>
      </c>
      <c r="E695" t="inlineStr"/>
      <c r="F695" t="inlineStr">
        <is>
          <t>متنوع</t>
        </is>
      </c>
      <c r="G695" t="inlineStr"/>
      <c r="H695" t="inlineStr">
        <is>
          <t>1,000.00</t>
        </is>
      </c>
      <c r="I695" t="inlineStr">
        <is>
          <t>أدوات صحية</t>
        </is>
      </c>
    </row>
    <row r="696">
      <c r="A696">
        <f>IMAGE("https://files.manuscdn.com/user_upload_by_module/session_file/310519663766182518/tJqAqXUeSLgnnEAf.png")</f>
        <v/>
      </c>
      <c r="B696" t="inlineStr">
        <is>
          <t>product_page109_item06</t>
        </is>
      </c>
      <c r="C696" t="inlineStr">
        <is>
          <t>Blocko</t>
        </is>
      </c>
      <c r="D696" t="inlineStr">
        <is>
          <t>N/A</t>
        </is>
      </c>
      <c r="E696" t="inlineStr"/>
      <c r="F696" t="inlineStr">
        <is>
          <t>متنوع</t>
        </is>
      </c>
      <c r="G696" t="inlineStr"/>
      <c r="H696" t="inlineStr">
        <is>
          <t>1,000.00</t>
        </is>
      </c>
      <c r="I696" t="inlineStr">
        <is>
          <t>أدوات صحية</t>
        </is>
      </c>
    </row>
    <row r="697">
      <c r="A697">
        <f>IMAGE("https://files.manuscdn.com/user_upload_by_module/session_file/310519663766182518/FOjYzrkICbTrEMHr.png")</f>
        <v/>
      </c>
      <c r="B697" t="inlineStr">
        <is>
          <t>product_page109_item07</t>
        </is>
      </c>
      <c r="C697" t="inlineStr">
        <is>
          <t>Blocko</t>
        </is>
      </c>
      <c r="D697" t="inlineStr">
        <is>
          <t>N/A</t>
        </is>
      </c>
      <c r="E697" t="inlineStr"/>
      <c r="F697" t="inlineStr">
        <is>
          <t>متنوع</t>
        </is>
      </c>
      <c r="G697" t="inlineStr"/>
      <c r="H697" t="inlineStr">
        <is>
          <t>1,000.00</t>
        </is>
      </c>
      <c r="I697" t="inlineStr">
        <is>
          <t>أدوات صحية</t>
        </is>
      </c>
    </row>
    <row r="698">
      <c r="A698">
        <f>IMAGE("https://files.manuscdn.com/user_upload_by_module/session_file/310519663766182518/HMsxIHDafzHnRSig.png")</f>
        <v/>
      </c>
      <c r="B698" t="inlineStr">
        <is>
          <t>product_page110_item00</t>
        </is>
      </c>
      <c r="C698" t="inlineStr">
        <is>
          <t>Blocko</t>
        </is>
      </c>
      <c r="D698" t="inlineStr">
        <is>
          <t>N/A</t>
        </is>
      </c>
      <c r="E698" t="inlineStr"/>
      <c r="F698" t="inlineStr">
        <is>
          <t>متنوع</t>
        </is>
      </c>
      <c r="G698" t="inlineStr"/>
      <c r="H698" t="inlineStr">
        <is>
          <t>1,000.00</t>
        </is>
      </c>
      <c r="I698" t="inlineStr">
        <is>
          <t>أدوات صحية</t>
        </is>
      </c>
    </row>
    <row r="699">
      <c r="A699">
        <f>IMAGE("https://files.manuscdn.com/user_upload_by_module/session_file/310519663766182518/OrrzQwgIaFQNtIXf.png")</f>
        <v/>
      </c>
      <c r="B699" t="inlineStr">
        <is>
          <t>product_page110_item01</t>
        </is>
      </c>
      <c r="C699" t="inlineStr">
        <is>
          <t>Blocko</t>
        </is>
      </c>
      <c r="D699" t="inlineStr">
        <is>
          <t>N/A</t>
        </is>
      </c>
      <c r="E699" t="inlineStr"/>
      <c r="F699" t="inlineStr">
        <is>
          <t>متنوع</t>
        </is>
      </c>
      <c r="G699" t="inlineStr"/>
      <c r="H699" t="inlineStr">
        <is>
          <t>1,000.00</t>
        </is>
      </c>
      <c r="I699" t="inlineStr">
        <is>
          <t>أدوات صحية</t>
        </is>
      </c>
    </row>
    <row r="700">
      <c r="A700">
        <f>IMAGE("https://files.manuscdn.com/user_upload_by_module/session_file/310519663766182518/KTNJmfySqZCAzgvK.png")</f>
        <v/>
      </c>
      <c r="B700" t="inlineStr">
        <is>
          <t>product_page110_item02</t>
        </is>
      </c>
      <c r="C700" t="inlineStr">
        <is>
          <t>Blocko</t>
        </is>
      </c>
      <c r="D700" t="inlineStr">
        <is>
          <t>N/A</t>
        </is>
      </c>
      <c r="E700" t="inlineStr"/>
      <c r="F700" t="inlineStr">
        <is>
          <t>متنوع</t>
        </is>
      </c>
      <c r="G700" t="inlineStr"/>
      <c r="H700" t="inlineStr">
        <is>
          <t>1,000.00</t>
        </is>
      </c>
      <c r="I700" t="inlineStr">
        <is>
          <t>أدوات صحية</t>
        </is>
      </c>
    </row>
    <row r="701">
      <c r="A701">
        <f>IMAGE("https://files.manuscdn.com/user_upload_by_module/session_file/310519663766182518/UAzcMVHqXWJArEAh.png")</f>
        <v/>
      </c>
      <c r="B701" t="inlineStr">
        <is>
          <t>product_page110_item03</t>
        </is>
      </c>
      <c r="C701" t="inlineStr">
        <is>
          <t>Blocko</t>
        </is>
      </c>
      <c r="D701" t="inlineStr">
        <is>
          <t>N/A</t>
        </is>
      </c>
      <c r="E701" t="inlineStr"/>
      <c r="F701" t="inlineStr">
        <is>
          <t>متنوع</t>
        </is>
      </c>
      <c r="G701" t="inlineStr"/>
      <c r="H701" t="inlineStr">
        <is>
          <t>1,000.00</t>
        </is>
      </c>
      <c r="I701" t="inlineStr">
        <is>
          <t>أدوات صحية</t>
        </is>
      </c>
    </row>
    <row r="702">
      <c r="A702">
        <f>IMAGE("https://files.manuscdn.com/user_upload_by_module/session_file/310519663766182518/hoYZYebHbXqTiPiK.png")</f>
        <v/>
      </c>
      <c r="B702" t="inlineStr">
        <is>
          <t>product_page110_item04</t>
        </is>
      </c>
      <c r="C702" t="inlineStr">
        <is>
          <t>Blocko</t>
        </is>
      </c>
      <c r="D702" t="inlineStr">
        <is>
          <t>N/A</t>
        </is>
      </c>
      <c r="E702" t="inlineStr"/>
      <c r="F702" t="inlineStr">
        <is>
          <t>متنوع</t>
        </is>
      </c>
      <c r="G702" t="inlineStr"/>
      <c r="H702" t="inlineStr">
        <is>
          <t>1,000.00</t>
        </is>
      </c>
      <c r="I702" t="inlineStr">
        <is>
          <t>أدوات صحية</t>
        </is>
      </c>
    </row>
    <row r="703">
      <c r="A703">
        <f>IMAGE("https://files.manuscdn.com/user_upload_by_module/session_file/310519663766182518/xqesbKRfEGjVmBoq.png")</f>
        <v/>
      </c>
      <c r="B703" t="inlineStr">
        <is>
          <t>product_page110_item05</t>
        </is>
      </c>
      <c r="C703" t="inlineStr">
        <is>
          <t>Blocko</t>
        </is>
      </c>
      <c r="D703" t="inlineStr">
        <is>
          <t>N/A</t>
        </is>
      </c>
      <c r="E703" t="inlineStr"/>
      <c r="F703" t="inlineStr">
        <is>
          <t>متنوع</t>
        </is>
      </c>
      <c r="G703" t="inlineStr"/>
      <c r="H703" t="inlineStr">
        <is>
          <t>1,000.00</t>
        </is>
      </c>
      <c r="I703" t="inlineStr">
        <is>
          <t>أدوات صحية</t>
        </is>
      </c>
    </row>
    <row r="704">
      <c r="A704">
        <f>IMAGE("https://files.manuscdn.com/user_upload_by_module/session_file/310519663766182518/hUvYxmaqkgXMUfFW.png")</f>
        <v/>
      </c>
      <c r="B704" t="inlineStr">
        <is>
          <t>product_page111_item00</t>
        </is>
      </c>
      <c r="C704" t="inlineStr">
        <is>
          <t>Blocko</t>
        </is>
      </c>
      <c r="D704" t="inlineStr">
        <is>
          <t>N/A</t>
        </is>
      </c>
      <c r="E704" t="inlineStr"/>
      <c r="F704" t="inlineStr">
        <is>
          <t>متنوع</t>
        </is>
      </c>
      <c r="G704" t="inlineStr"/>
      <c r="H704" t="inlineStr">
        <is>
          <t>1,000.00</t>
        </is>
      </c>
      <c r="I704" t="inlineStr">
        <is>
          <t>أدوات صحية</t>
        </is>
      </c>
    </row>
    <row r="705">
      <c r="A705">
        <f>IMAGE("https://files.manuscdn.com/user_upload_by_module/session_file/310519663766182518/kiSoygrJYAVEsulg.png")</f>
        <v/>
      </c>
      <c r="B705" t="inlineStr">
        <is>
          <t>product_page111_item01</t>
        </is>
      </c>
      <c r="C705" t="inlineStr">
        <is>
          <t>Blocko</t>
        </is>
      </c>
      <c r="D705" t="inlineStr">
        <is>
          <t>N/A</t>
        </is>
      </c>
      <c r="E705" t="inlineStr"/>
      <c r="F705" t="inlineStr">
        <is>
          <t>متنوع</t>
        </is>
      </c>
      <c r="G705" t="inlineStr"/>
      <c r="H705" t="inlineStr">
        <is>
          <t>1,000.00</t>
        </is>
      </c>
      <c r="I705" t="inlineStr">
        <is>
          <t>أدوات صحية</t>
        </is>
      </c>
    </row>
    <row r="706">
      <c r="A706">
        <f>IMAGE("https://files.manuscdn.com/user_upload_by_module/session_file/310519663766182518/axrTLvtnzVdxcnKU.png")</f>
        <v/>
      </c>
      <c r="B706" t="inlineStr">
        <is>
          <t>product_page111_item02</t>
        </is>
      </c>
      <c r="C706" t="inlineStr">
        <is>
          <t>Blocko</t>
        </is>
      </c>
      <c r="D706" t="inlineStr">
        <is>
          <t>N/A</t>
        </is>
      </c>
      <c r="E706" t="inlineStr"/>
      <c r="F706" t="inlineStr">
        <is>
          <t>متنوع</t>
        </is>
      </c>
      <c r="G706" t="inlineStr"/>
      <c r="H706" t="inlineStr">
        <is>
          <t>1,000.00</t>
        </is>
      </c>
      <c r="I706" t="inlineStr">
        <is>
          <t>أدوات صحية</t>
        </is>
      </c>
    </row>
    <row r="707">
      <c r="A707">
        <f>IMAGE("https://files.manuscdn.com/user_upload_by_module/session_file/310519663766182518/zgTCPJYeepKKjWkW.png")</f>
        <v/>
      </c>
      <c r="B707" t="inlineStr">
        <is>
          <t>product_page111_item03</t>
        </is>
      </c>
      <c r="C707" t="inlineStr">
        <is>
          <t>Blocko</t>
        </is>
      </c>
      <c r="D707" t="inlineStr">
        <is>
          <t>N/A</t>
        </is>
      </c>
      <c r="E707" t="inlineStr"/>
      <c r="F707" t="inlineStr">
        <is>
          <t>متنوع</t>
        </is>
      </c>
      <c r="G707" t="inlineStr"/>
      <c r="H707" t="inlineStr">
        <is>
          <t>1,000.00</t>
        </is>
      </c>
      <c r="I707" t="inlineStr">
        <is>
          <t>أدوات صحية</t>
        </is>
      </c>
    </row>
    <row r="708">
      <c r="A708">
        <f>IMAGE("https://files.manuscdn.com/user_upload_by_module/session_file/310519663766182518/QTWjtjMVWKRcBYEQ.png")</f>
        <v/>
      </c>
      <c r="B708" t="inlineStr">
        <is>
          <t>product_page111_item04</t>
        </is>
      </c>
      <c r="C708" t="inlineStr">
        <is>
          <t>Blocko</t>
        </is>
      </c>
      <c r="D708" t="inlineStr">
        <is>
          <t>N/A</t>
        </is>
      </c>
      <c r="E708" t="inlineStr"/>
      <c r="F708" t="inlineStr">
        <is>
          <t>متنوع</t>
        </is>
      </c>
      <c r="G708" t="inlineStr"/>
      <c r="H708" t="inlineStr">
        <is>
          <t>1,000.00</t>
        </is>
      </c>
      <c r="I708" t="inlineStr">
        <is>
          <t>أدوات صحية</t>
        </is>
      </c>
    </row>
    <row r="709">
      <c r="A709">
        <f>IMAGE("https://files.manuscdn.com/user_upload_by_module/session_file/310519663766182518/YIHcxKBirBLoNFTr.png")</f>
        <v/>
      </c>
      <c r="B709" t="inlineStr">
        <is>
          <t>product_page111_item05</t>
        </is>
      </c>
      <c r="C709" t="inlineStr">
        <is>
          <t>Blocko</t>
        </is>
      </c>
      <c r="D709" t="inlineStr">
        <is>
          <t>N/A</t>
        </is>
      </c>
      <c r="E709" t="inlineStr"/>
      <c r="F709" t="inlineStr">
        <is>
          <t>متنوع</t>
        </is>
      </c>
      <c r="G709" t="inlineStr"/>
      <c r="H709" t="inlineStr">
        <is>
          <t>1,000.00</t>
        </is>
      </c>
      <c r="I709" t="inlineStr">
        <is>
          <t>أدوات صحية</t>
        </is>
      </c>
    </row>
    <row r="710">
      <c r="A710">
        <f>IMAGE("https://files.manuscdn.com/user_upload_by_module/session_file/310519663766182518/xCKQXQWlINcFOUMI.png")</f>
        <v/>
      </c>
      <c r="B710" t="inlineStr">
        <is>
          <t>product_page112_item00</t>
        </is>
      </c>
      <c r="C710" t="inlineStr">
        <is>
          <t>Blocko</t>
        </is>
      </c>
      <c r="D710" t="inlineStr">
        <is>
          <t>N/A</t>
        </is>
      </c>
      <c r="E710" t="inlineStr"/>
      <c r="F710" t="inlineStr">
        <is>
          <t>متنوع</t>
        </is>
      </c>
      <c r="G710" t="inlineStr"/>
      <c r="H710" t="inlineStr">
        <is>
          <t>1,000.00</t>
        </is>
      </c>
      <c r="I710" t="inlineStr">
        <is>
          <t>أدوات صحية</t>
        </is>
      </c>
    </row>
    <row r="711">
      <c r="A711">
        <f>IMAGE("https://files.manuscdn.com/user_upload_by_module/session_file/310519663766182518/QnPITfFxtSYyIeYK.png")</f>
        <v/>
      </c>
      <c r="B711" t="inlineStr">
        <is>
          <t>product_page112_item01</t>
        </is>
      </c>
      <c r="C711" t="inlineStr">
        <is>
          <t>Blocko</t>
        </is>
      </c>
      <c r="D711" t="inlineStr">
        <is>
          <t>N/A</t>
        </is>
      </c>
      <c r="E711" t="inlineStr"/>
      <c r="F711" t="inlineStr">
        <is>
          <t>متنوع</t>
        </is>
      </c>
      <c r="G711" t="inlineStr"/>
      <c r="H711" t="inlineStr">
        <is>
          <t>1,000.00</t>
        </is>
      </c>
      <c r="I711" t="inlineStr">
        <is>
          <t>أدوات صحية</t>
        </is>
      </c>
    </row>
    <row r="712">
      <c r="A712">
        <f>IMAGE("https://files.manuscdn.com/user_upload_by_module/session_file/310519663766182518/flLVDnutlAOwYFXj.png")</f>
        <v/>
      </c>
      <c r="B712" t="inlineStr">
        <is>
          <t>product_page112_item02</t>
        </is>
      </c>
      <c r="C712" t="inlineStr">
        <is>
          <t>Blocko</t>
        </is>
      </c>
      <c r="D712" t="inlineStr">
        <is>
          <t>N/A</t>
        </is>
      </c>
      <c r="E712" t="inlineStr"/>
      <c r="F712" t="inlineStr">
        <is>
          <t>متنوع</t>
        </is>
      </c>
      <c r="G712" t="inlineStr"/>
      <c r="H712" t="inlineStr">
        <is>
          <t>1,000.00</t>
        </is>
      </c>
      <c r="I712" t="inlineStr">
        <is>
          <t>أدوات صحية</t>
        </is>
      </c>
    </row>
    <row r="713">
      <c r="A713">
        <f>IMAGE("https://files.manuscdn.com/user_upload_by_module/session_file/310519663766182518/LxCoFwogkxalnERN.png")</f>
        <v/>
      </c>
      <c r="B713" t="inlineStr">
        <is>
          <t>product_page112_item03</t>
        </is>
      </c>
      <c r="C713" t="inlineStr">
        <is>
          <t>Blocko</t>
        </is>
      </c>
      <c r="D713" t="inlineStr">
        <is>
          <t>N/A</t>
        </is>
      </c>
      <c r="E713" t="inlineStr"/>
      <c r="F713" t="inlineStr">
        <is>
          <t>متنوع</t>
        </is>
      </c>
      <c r="G713" t="inlineStr"/>
      <c r="H713" t="inlineStr">
        <is>
          <t>1,000.00</t>
        </is>
      </c>
      <c r="I713" t="inlineStr">
        <is>
          <t>أدوات صحية</t>
        </is>
      </c>
    </row>
    <row r="714">
      <c r="A714">
        <f>IMAGE("https://files.manuscdn.com/user_upload_by_module/session_file/310519663766182518/PETxJndohrtDzXha.png")</f>
        <v/>
      </c>
      <c r="B714" t="inlineStr">
        <is>
          <t>product_page112_item04</t>
        </is>
      </c>
      <c r="C714" t="inlineStr">
        <is>
          <t>Blocko</t>
        </is>
      </c>
      <c r="D714" t="inlineStr">
        <is>
          <t>N/A</t>
        </is>
      </c>
      <c r="E714" t="inlineStr"/>
      <c r="F714" t="inlineStr">
        <is>
          <t>متنوع</t>
        </is>
      </c>
      <c r="G714" t="inlineStr"/>
      <c r="H714" t="inlineStr">
        <is>
          <t>1,000.00</t>
        </is>
      </c>
      <c r="I714" t="inlineStr">
        <is>
          <t>أدوات صحية</t>
        </is>
      </c>
    </row>
    <row r="715">
      <c r="A715">
        <f>IMAGE("https://files.manuscdn.com/user_upload_by_module/session_file/310519663766182518/ythrfWrhGIfrwBAD.png")</f>
        <v/>
      </c>
      <c r="B715" t="inlineStr">
        <is>
          <t>product_page112_item05</t>
        </is>
      </c>
      <c r="C715" t="inlineStr">
        <is>
          <t>Blocko</t>
        </is>
      </c>
      <c r="D715" t="inlineStr">
        <is>
          <t>N/A</t>
        </is>
      </c>
      <c r="E715" t="inlineStr"/>
      <c r="F715" t="inlineStr">
        <is>
          <t>متنوع</t>
        </is>
      </c>
      <c r="G715" t="inlineStr"/>
      <c r="H715" t="inlineStr">
        <is>
          <t>1,000.00</t>
        </is>
      </c>
      <c r="I715" t="inlineStr">
        <is>
          <t>أدوات صحية</t>
        </is>
      </c>
    </row>
    <row r="716">
      <c r="A716">
        <f>IMAGE("https://files.manuscdn.com/user_upload_by_module/session_file/310519663766182518/pgqVTPTJjoHWTIHg.png")</f>
        <v/>
      </c>
      <c r="B716" t="inlineStr">
        <is>
          <t>product_page112_item06</t>
        </is>
      </c>
      <c r="C716" t="inlineStr">
        <is>
          <t>Blocko</t>
        </is>
      </c>
      <c r="D716" t="inlineStr">
        <is>
          <t>N/A</t>
        </is>
      </c>
      <c r="E716" t="inlineStr"/>
      <c r="F716" t="inlineStr">
        <is>
          <t>متنوع</t>
        </is>
      </c>
      <c r="G716" t="inlineStr"/>
      <c r="H716" t="inlineStr">
        <is>
          <t>1,000.00</t>
        </is>
      </c>
      <c r="I716" t="inlineStr">
        <is>
          <t>أدوات صحية</t>
        </is>
      </c>
    </row>
    <row r="717">
      <c r="A717">
        <f>IMAGE("https://files.manuscdn.com/user_upload_by_module/session_file/310519663766182518/TDYBDOIdveGFCUAy.png")</f>
        <v/>
      </c>
      <c r="B717" t="inlineStr">
        <is>
          <t>product_page112_item07</t>
        </is>
      </c>
      <c r="C717" t="inlineStr">
        <is>
          <t>Blocko</t>
        </is>
      </c>
      <c r="D717" t="inlineStr">
        <is>
          <t>N/A</t>
        </is>
      </c>
      <c r="E717" t="inlineStr"/>
      <c r="F717" t="inlineStr">
        <is>
          <t>متنوع</t>
        </is>
      </c>
      <c r="G717" t="inlineStr"/>
      <c r="H717" t="inlineStr">
        <is>
          <t>1,000.00</t>
        </is>
      </c>
      <c r="I717" t="inlineStr">
        <is>
          <t>أدوات صحية</t>
        </is>
      </c>
    </row>
    <row r="718">
      <c r="A718">
        <f>IMAGE("https://files.manuscdn.com/user_upload_by_module/session_file/310519663766182518/MeWjRNvNjTeFLFvT.png")</f>
        <v/>
      </c>
      <c r="B718" t="inlineStr">
        <is>
          <t>product_page113_item00</t>
        </is>
      </c>
      <c r="C718" t="inlineStr">
        <is>
          <t>Blocko</t>
        </is>
      </c>
      <c r="D718" t="inlineStr">
        <is>
          <t>N/A</t>
        </is>
      </c>
      <c r="E718" t="inlineStr"/>
      <c r="F718" t="inlineStr">
        <is>
          <t>متنوع</t>
        </is>
      </c>
      <c r="G718" t="inlineStr"/>
      <c r="H718" t="inlineStr">
        <is>
          <t>1,000.00</t>
        </is>
      </c>
      <c r="I718" t="inlineStr">
        <is>
          <t>أدوات صحية</t>
        </is>
      </c>
    </row>
    <row r="719">
      <c r="A719">
        <f>IMAGE("https://files.manuscdn.com/user_upload_by_module/session_file/310519663766182518/qXMpnFwPNeGGMDZn.png")</f>
        <v/>
      </c>
      <c r="B719" t="inlineStr">
        <is>
          <t>product_page113_item01</t>
        </is>
      </c>
      <c r="C719" t="inlineStr">
        <is>
          <t>Blocko</t>
        </is>
      </c>
      <c r="D719" t="inlineStr">
        <is>
          <t>N/A</t>
        </is>
      </c>
      <c r="E719" t="inlineStr"/>
      <c r="F719" t="inlineStr">
        <is>
          <t>متنوع</t>
        </is>
      </c>
      <c r="G719" t="inlineStr"/>
      <c r="H719" t="inlineStr">
        <is>
          <t>1,000.00</t>
        </is>
      </c>
      <c r="I719" t="inlineStr">
        <is>
          <t>أدوات صحية</t>
        </is>
      </c>
    </row>
    <row r="720">
      <c r="A720">
        <f>IMAGE("https://files.manuscdn.com/user_upload_by_module/session_file/310519663766182518/lcNZHVqwvRuVNtVa.png")</f>
        <v/>
      </c>
      <c r="B720" t="inlineStr">
        <is>
          <t>product_page113_item02</t>
        </is>
      </c>
      <c r="C720" t="inlineStr">
        <is>
          <t>Blocko</t>
        </is>
      </c>
      <c r="D720" t="inlineStr">
        <is>
          <t>N/A</t>
        </is>
      </c>
      <c r="E720" t="inlineStr"/>
      <c r="F720" t="inlineStr">
        <is>
          <t>متنوع</t>
        </is>
      </c>
      <c r="G720" t="inlineStr"/>
      <c r="H720" t="inlineStr">
        <is>
          <t>1,000.00</t>
        </is>
      </c>
      <c r="I720" t="inlineStr">
        <is>
          <t>أدوات صحية</t>
        </is>
      </c>
    </row>
    <row r="721">
      <c r="A721">
        <f>IMAGE("https://files.manuscdn.com/user_upload_by_module/session_file/310519663766182518/SvpzzmClFklxKLcm.png")</f>
        <v/>
      </c>
      <c r="B721" t="inlineStr">
        <is>
          <t>product_page113_item03</t>
        </is>
      </c>
      <c r="C721" t="inlineStr">
        <is>
          <t>Blocko</t>
        </is>
      </c>
      <c r="D721" t="inlineStr">
        <is>
          <t>N/A</t>
        </is>
      </c>
      <c r="E721" t="inlineStr"/>
      <c r="F721" t="inlineStr">
        <is>
          <t>متنوع</t>
        </is>
      </c>
      <c r="G721" t="inlineStr"/>
      <c r="H721" t="inlineStr">
        <is>
          <t>1,000.00</t>
        </is>
      </c>
      <c r="I721" t="inlineStr">
        <is>
          <t>أدوات صحية</t>
        </is>
      </c>
    </row>
    <row r="722">
      <c r="A722">
        <f>IMAGE("https://files.manuscdn.com/user_upload_by_module/session_file/310519663766182518/LwsHazyksRyAUZQz.png")</f>
        <v/>
      </c>
      <c r="B722" t="inlineStr">
        <is>
          <t>product_page114_item00</t>
        </is>
      </c>
      <c r="C722" t="inlineStr">
        <is>
          <t>Blocko</t>
        </is>
      </c>
      <c r="D722" t="inlineStr">
        <is>
          <t>N/A</t>
        </is>
      </c>
      <c r="E722" t="inlineStr"/>
      <c r="F722" t="inlineStr">
        <is>
          <t>متنوع</t>
        </is>
      </c>
      <c r="G722" t="inlineStr"/>
      <c r="H722" t="inlineStr">
        <is>
          <t>1,000.00</t>
        </is>
      </c>
      <c r="I722" t="inlineStr">
        <is>
          <t>أدوات صحية</t>
        </is>
      </c>
    </row>
    <row r="723">
      <c r="A723">
        <f>IMAGE("https://files.manuscdn.com/user_upload_by_module/session_file/310519663766182518/ObhAOgCRMnRLeHVv.png")</f>
        <v/>
      </c>
      <c r="B723" t="inlineStr">
        <is>
          <t>product_page114_item01</t>
        </is>
      </c>
      <c r="C723" t="inlineStr">
        <is>
          <t>Blocko</t>
        </is>
      </c>
      <c r="D723" t="inlineStr">
        <is>
          <t>N/A</t>
        </is>
      </c>
      <c r="E723" t="inlineStr"/>
      <c r="F723" t="inlineStr">
        <is>
          <t>متنوع</t>
        </is>
      </c>
      <c r="G723" t="inlineStr"/>
      <c r="H723" t="inlineStr">
        <is>
          <t>1,000.00</t>
        </is>
      </c>
      <c r="I723" t="inlineStr">
        <is>
          <t>أدوات صحية</t>
        </is>
      </c>
    </row>
    <row r="724">
      <c r="A724">
        <f>IMAGE("https://files.manuscdn.com/user_upload_by_module/session_file/310519663766182518/DwJCnaDTCShkBPVI.png")</f>
        <v/>
      </c>
      <c r="B724" t="inlineStr">
        <is>
          <t>product_page114_item02</t>
        </is>
      </c>
      <c r="C724" t="inlineStr">
        <is>
          <t>Blocko</t>
        </is>
      </c>
      <c r="D724" t="inlineStr">
        <is>
          <t>N/A</t>
        </is>
      </c>
      <c r="E724" t="inlineStr"/>
      <c r="F724" t="inlineStr">
        <is>
          <t>متنوع</t>
        </is>
      </c>
      <c r="G724" t="inlineStr"/>
      <c r="H724" t="inlineStr">
        <is>
          <t>1,000.00</t>
        </is>
      </c>
      <c r="I724" t="inlineStr">
        <is>
          <t>أدوات صحية</t>
        </is>
      </c>
    </row>
    <row r="725">
      <c r="A725">
        <f>IMAGE("https://files.manuscdn.com/user_upload_by_module/session_file/310519663766182518/uqqdSXDeNWdqrbet.png")</f>
        <v/>
      </c>
      <c r="B725" t="inlineStr">
        <is>
          <t>product_page114_item03</t>
        </is>
      </c>
      <c r="C725" t="inlineStr">
        <is>
          <t>Blocko</t>
        </is>
      </c>
      <c r="D725" t="inlineStr">
        <is>
          <t>N/A</t>
        </is>
      </c>
      <c r="E725" t="inlineStr"/>
      <c r="F725" t="inlineStr">
        <is>
          <t>متنوع</t>
        </is>
      </c>
      <c r="G725" t="inlineStr"/>
      <c r="H725" t="inlineStr">
        <is>
          <t>1,000.00</t>
        </is>
      </c>
      <c r="I725" t="inlineStr">
        <is>
          <t>أدوات صحية</t>
        </is>
      </c>
    </row>
    <row r="726">
      <c r="A726">
        <f>IMAGE("https://files.manuscdn.com/user_upload_by_module/session_file/310519663766182518/IfIudwEAIZXnlCAi.png")</f>
        <v/>
      </c>
      <c r="B726" t="inlineStr">
        <is>
          <t>product_page114_item04</t>
        </is>
      </c>
      <c r="C726" t="inlineStr">
        <is>
          <t>Blocko</t>
        </is>
      </c>
      <c r="D726" t="inlineStr">
        <is>
          <t>N/A</t>
        </is>
      </c>
      <c r="E726" t="inlineStr"/>
      <c r="F726" t="inlineStr">
        <is>
          <t>متنوع</t>
        </is>
      </c>
      <c r="G726" t="inlineStr"/>
      <c r="H726" t="inlineStr">
        <is>
          <t>1,000.00</t>
        </is>
      </c>
      <c r="I726" t="inlineStr">
        <is>
          <t>أدوات صحية</t>
        </is>
      </c>
    </row>
    <row r="727">
      <c r="A727">
        <f>IMAGE("https://files.manuscdn.com/user_upload_by_module/session_file/310519663766182518/eoOgYvPPpJPDGQym.png")</f>
        <v/>
      </c>
      <c r="B727" t="inlineStr">
        <is>
          <t>product_page114_item05</t>
        </is>
      </c>
      <c r="C727" t="inlineStr">
        <is>
          <t>Blocko</t>
        </is>
      </c>
      <c r="D727" t="inlineStr">
        <is>
          <t>N/A</t>
        </is>
      </c>
      <c r="E727" t="inlineStr"/>
      <c r="F727" t="inlineStr">
        <is>
          <t>متنوع</t>
        </is>
      </c>
      <c r="G727" t="inlineStr"/>
      <c r="H727" t="inlineStr">
        <is>
          <t>1,000.00</t>
        </is>
      </c>
      <c r="I727" t="inlineStr">
        <is>
          <t>أدوات صحية</t>
        </is>
      </c>
    </row>
    <row r="728">
      <c r="A728">
        <f>IMAGE("https://files.manuscdn.com/user_upload_by_module/session_file/310519663766182518/xWZsjOvlKcoaoiWR.png")</f>
        <v/>
      </c>
      <c r="B728" t="inlineStr">
        <is>
          <t>product_page114_item06</t>
        </is>
      </c>
      <c r="C728" t="inlineStr">
        <is>
          <t>Blocko</t>
        </is>
      </c>
      <c r="D728" t="inlineStr">
        <is>
          <t>N/A</t>
        </is>
      </c>
      <c r="E728" t="inlineStr"/>
      <c r="F728" t="inlineStr">
        <is>
          <t>متنوع</t>
        </is>
      </c>
      <c r="G728" t="inlineStr"/>
      <c r="H728" t="inlineStr">
        <is>
          <t>1,000.00</t>
        </is>
      </c>
      <c r="I728" t="inlineStr">
        <is>
          <t>أدوات صحية</t>
        </is>
      </c>
    </row>
    <row r="729">
      <c r="A729">
        <f>IMAGE("https://files.manuscdn.com/user_upload_by_module/session_file/310519663766182518/jtEwRSPYSCKvOuHt.png")</f>
        <v/>
      </c>
      <c r="B729" t="inlineStr">
        <is>
          <t>product_page114_item07</t>
        </is>
      </c>
      <c r="C729" t="inlineStr">
        <is>
          <t>Blocko</t>
        </is>
      </c>
      <c r="D729" t="inlineStr">
        <is>
          <t>N/A</t>
        </is>
      </c>
      <c r="E729" t="inlineStr"/>
      <c r="F729" t="inlineStr">
        <is>
          <t>متنوع</t>
        </is>
      </c>
      <c r="G729" t="inlineStr"/>
      <c r="H729" t="inlineStr">
        <is>
          <t>1,000.00</t>
        </is>
      </c>
      <c r="I729" t="inlineStr">
        <is>
          <t>أدوات صحية</t>
        </is>
      </c>
    </row>
    <row r="730">
      <c r="A730">
        <f>IMAGE("https://files.manuscdn.com/user_upload_by_module/session_file/310519663766182518/zSrKipvCYjtJZGOX.png")</f>
        <v/>
      </c>
      <c r="B730" t="inlineStr">
        <is>
          <t>product_page115_item00</t>
        </is>
      </c>
      <c r="C730" t="inlineStr">
        <is>
          <t>Blocko</t>
        </is>
      </c>
      <c r="D730" t="inlineStr">
        <is>
          <t>N/A</t>
        </is>
      </c>
      <c r="E730" t="inlineStr"/>
      <c r="F730" t="inlineStr">
        <is>
          <t>متنوع</t>
        </is>
      </c>
      <c r="G730" t="inlineStr"/>
      <c r="H730" t="inlineStr">
        <is>
          <t>1,000.00</t>
        </is>
      </c>
      <c r="I730" t="inlineStr">
        <is>
          <t>أدوات صحية</t>
        </is>
      </c>
    </row>
    <row r="731">
      <c r="A731">
        <f>IMAGE("https://files.manuscdn.com/user_upload_by_module/session_file/310519663766182518/QSZDyFCWDYpLfpnq.png")</f>
        <v/>
      </c>
      <c r="B731" t="inlineStr">
        <is>
          <t>product_page115_item01</t>
        </is>
      </c>
      <c r="C731" t="inlineStr">
        <is>
          <t>Blocko</t>
        </is>
      </c>
      <c r="D731" t="inlineStr">
        <is>
          <t>N/A</t>
        </is>
      </c>
      <c r="E731" t="inlineStr"/>
      <c r="F731" t="inlineStr">
        <is>
          <t>متنوع</t>
        </is>
      </c>
      <c r="G731" t="inlineStr"/>
      <c r="H731" t="inlineStr">
        <is>
          <t>1,000.00</t>
        </is>
      </c>
      <c r="I731" t="inlineStr">
        <is>
          <t>أدوات صحية</t>
        </is>
      </c>
    </row>
    <row r="732">
      <c r="A732">
        <f>IMAGE("https://files.manuscdn.com/user_upload_by_module/session_file/310519663766182518/bnWHyQVluJrQueIK.png")</f>
        <v/>
      </c>
      <c r="B732" t="inlineStr">
        <is>
          <t>product_page115_item02</t>
        </is>
      </c>
      <c r="C732" t="inlineStr">
        <is>
          <t>Blocko</t>
        </is>
      </c>
      <c r="D732" t="inlineStr">
        <is>
          <t>N/A</t>
        </is>
      </c>
      <c r="E732" t="inlineStr"/>
      <c r="F732" t="inlineStr">
        <is>
          <t>متنوع</t>
        </is>
      </c>
      <c r="G732" t="inlineStr"/>
      <c r="H732" t="inlineStr">
        <is>
          <t>1,000.00</t>
        </is>
      </c>
      <c r="I732" t="inlineStr">
        <is>
          <t>أدوات صحية</t>
        </is>
      </c>
    </row>
    <row r="733">
      <c r="A733">
        <f>IMAGE("https://files.manuscdn.com/user_upload_by_module/session_file/310519663766182518/AzXhxdlRUDkfhSFa.png")</f>
        <v/>
      </c>
      <c r="B733" t="inlineStr">
        <is>
          <t>product_page115_item03</t>
        </is>
      </c>
      <c r="C733" t="inlineStr">
        <is>
          <t>Blocko</t>
        </is>
      </c>
      <c r="D733" t="inlineStr">
        <is>
          <t>N/A</t>
        </is>
      </c>
      <c r="E733" t="inlineStr"/>
      <c r="F733" t="inlineStr">
        <is>
          <t>متنوع</t>
        </is>
      </c>
      <c r="G733" t="inlineStr"/>
      <c r="H733" t="inlineStr">
        <is>
          <t>1,000.00</t>
        </is>
      </c>
      <c r="I733" t="inlineStr">
        <is>
          <t>أدوات صحية</t>
        </is>
      </c>
    </row>
    <row r="734">
      <c r="A734">
        <f>IMAGE("https://files.manuscdn.com/user_upload_by_module/session_file/310519663766182518/cFNoSKMmqIERIIpk.png")</f>
        <v/>
      </c>
      <c r="B734" t="inlineStr">
        <is>
          <t>product_page115_item04</t>
        </is>
      </c>
      <c r="C734" t="inlineStr">
        <is>
          <t>Blocko</t>
        </is>
      </c>
      <c r="D734" t="inlineStr">
        <is>
          <t>N/A</t>
        </is>
      </c>
      <c r="E734" t="inlineStr"/>
      <c r="F734" t="inlineStr">
        <is>
          <t>متنوع</t>
        </is>
      </c>
      <c r="G734" t="inlineStr"/>
      <c r="H734" t="inlineStr">
        <is>
          <t>1,000.00</t>
        </is>
      </c>
      <c r="I734" t="inlineStr">
        <is>
          <t>أدوات صحية</t>
        </is>
      </c>
    </row>
    <row r="735">
      <c r="A735">
        <f>IMAGE("https://files.manuscdn.com/user_upload_by_module/session_file/310519663766182518/yhhcsdocPBDcyfSG.png")</f>
        <v/>
      </c>
      <c r="B735" t="inlineStr">
        <is>
          <t>product_page115_item05</t>
        </is>
      </c>
      <c r="C735" t="inlineStr">
        <is>
          <t>Blocko</t>
        </is>
      </c>
      <c r="D735" t="inlineStr">
        <is>
          <t>N/A</t>
        </is>
      </c>
      <c r="E735" t="inlineStr"/>
      <c r="F735" t="inlineStr">
        <is>
          <t>متنوع</t>
        </is>
      </c>
      <c r="G735" t="inlineStr"/>
      <c r="H735" t="inlineStr">
        <is>
          <t>1,000.00</t>
        </is>
      </c>
      <c r="I735" t="inlineStr">
        <is>
          <t>أدوات صحية</t>
        </is>
      </c>
    </row>
    <row r="736">
      <c r="A736">
        <f>IMAGE("https://files.manuscdn.com/user_upload_by_module/session_file/310519663766182518/qqqKUKFFMwDkbvbj.png")</f>
        <v/>
      </c>
      <c r="B736" t="inlineStr">
        <is>
          <t>product_page116_item00</t>
        </is>
      </c>
      <c r="C736" t="inlineStr">
        <is>
          <t>Blocko</t>
        </is>
      </c>
      <c r="D736" t="inlineStr">
        <is>
          <t>N/A</t>
        </is>
      </c>
      <c r="E736" t="inlineStr"/>
      <c r="F736" t="inlineStr">
        <is>
          <t>متنوع</t>
        </is>
      </c>
      <c r="G736" t="inlineStr"/>
      <c r="H736" t="inlineStr">
        <is>
          <t>1,000.00</t>
        </is>
      </c>
      <c r="I736" t="inlineStr">
        <is>
          <t>أدوات صحية</t>
        </is>
      </c>
    </row>
    <row r="737">
      <c r="A737">
        <f>IMAGE("https://files.manuscdn.com/user_upload_by_module/session_file/310519663766182518/qhxbponOqIsdyees.png")</f>
        <v/>
      </c>
      <c r="B737" t="inlineStr">
        <is>
          <t>product_page116_item01</t>
        </is>
      </c>
      <c r="C737" t="inlineStr">
        <is>
          <t>Blocko</t>
        </is>
      </c>
      <c r="D737" t="inlineStr">
        <is>
          <t>N/A</t>
        </is>
      </c>
      <c r="E737" t="inlineStr"/>
      <c r="F737" t="inlineStr">
        <is>
          <t>متنوع</t>
        </is>
      </c>
      <c r="G737" t="inlineStr"/>
      <c r="H737" t="inlineStr">
        <is>
          <t>1,000.00</t>
        </is>
      </c>
      <c r="I737" t="inlineStr">
        <is>
          <t>أدوات صحية</t>
        </is>
      </c>
    </row>
    <row r="738">
      <c r="A738">
        <f>IMAGE("https://files.manuscdn.com/user_upload_by_module/session_file/310519663766182518/JiWXzHxwXxuyqGIC.png")</f>
        <v/>
      </c>
      <c r="B738" t="inlineStr">
        <is>
          <t>product_page117_item00</t>
        </is>
      </c>
      <c r="C738" t="inlineStr">
        <is>
          <t>Blocko</t>
        </is>
      </c>
      <c r="D738" t="inlineStr">
        <is>
          <t>N/A</t>
        </is>
      </c>
      <c r="E738" t="inlineStr"/>
      <c r="F738" t="inlineStr">
        <is>
          <t>متنوع</t>
        </is>
      </c>
      <c r="G738" t="inlineStr"/>
      <c r="H738" t="inlineStr">
        <is>
          <t>1,000.00</t>
        </is>
      </c>
      <c r="I738" t="inlineStr">
        <is>
          <t>أدوات صحية</t>
        </is>
      </c>
    </row>
    <row r="739">
      <c r="A739">
        <f>IMAGE("https://files.manuscdn.com/user_upload_by_module/session_file/310519663766182518/EVGyKgzvwZmWqzSB.png")</f>
        <v/>
      </c>
      <c r="B739" t="inlineStr">
        <is>
          <t>product_page117_item01</t>
        </is>
      </c>
      <c r="C739" t="inlineStr">
        <is>
          <t>Blocko</t>
        </is>
      </c>
      <c r="D739" t="inlineStr">
        <is>
          <t>N/A</t>
        </is>
      </c>
      <c r="E739" t="inlineStr"/>
      <c r="F739" t="inlineStr">
        <is>
          <t>متنوع</t>
        </is>
      </c>
      <c r="G739" t="inlineStr"/>
      <c r="H739" t="inlineStr">
        <is>
          <t>1,000.00</t>
        </is>
      </c>
      <c r="I739" t="inlineStr">
        <is>
          <t>أدوات صحية</t>
        </is>
      </c>
    </row>
    <row r="740">
      <c r="A740">
        <f>IMAGE("https://files.manuscdn.com/user_upload_by_module/session_file/310519663766182518/UuWnFgJZNpNxaENS.png")</f>
        <v/>
      </c>
      <c r="B740" t="inlineStr">
        <is>
          <t>product_page118_item01</t>
        </is>
      </c>
      <c r="C740" t="inlineStr">
        <is>
          <t>Blocko</t>
        </is>
      </c>
      <c r="D740" t="inlineStr">
        <is>
          <t>N/A</t>
        </is>
      </c>
      <c r="E740" t="inlineStr"/>
      <c r="F740" t="inlineStr">
        <is>
          <t>متنوع</t>
        </is>
      </c>
      <c r="G740" t="inlineStr"/>
      <c r="H740" t="inlineStr">
        <is>
          <t>1,000.00</t>
        </is>
      </c>
      <c r="I740" t="inlineStr">
        <is>
          <t>أدوات صحية</t>
        </is>
      </c>
    </row>
    <row r="741">
      <c r="A741">
        <f>IMAGE("https://files.manuscdn.com/user_upload_by_module/session_file/310519663766182518/QgDXQLmksKrzVkPv.png")</f>
        <v/>
      </c>
      <c r="B741" t="inlineStr">
        <is>
          <t>product_page118_item02</t>
        </is>
      </c>
      <c r="C741" t="inlineStr">
        <is>
          <t>Blocko</t>
        </is>
      </c>
      <c r="D741" t="inlineStr">
        <is>
          <t>N/A</t>
        </is>
      </c>
      <c r="E741" t="inlineStr"/>
      <c r="F741" t="inlineStr">
        <is>
          <t>متنوع</t>
        </is>
      </c>
      <c r="G741" t="inlineStr"/>
      <c r="H741" t="inlineStr">
        <is>
          <t>1,000.00</t>
        </is>
      </c>
      <c r="I741" t="inlineStr">
        <is>
          <t>أدوات صحية</t>
        </is>
      </c>
    </row>
    <row r="742">
      <c r="A742">
        <f>IMAGE("https://files.manuscdn.com/user_upload_by_module/session_file/310519663766182518/PqTcTfVcpLzHdhMr.png")</f>
        <v/>
      </c>
      <c r="B742" t="inlineStr">
        <is>
          <t>product_page118_item03</t>
        </is>
      </c>
      <c r="C742" t="inlineStr">
        <is>
          <t>Blocko</t>
        </is>
      </c>
      <c r="D742" t="inlineStr">
        <is>
          <t>N/A</t>
        </is>
      </c>
      <c r="E742" t="inlineStr"/>
      <c r="F742" t="inlineStr">
        <is>
          <t>متنوع</t>
        </is>
      </c>
      <c r="G742" t="inlineStr"/>
      <c r="H742" t="inlineStr">
        <is>
          <t>1,000.00</t>
        </is>
      </c>
      <c r="I742" t="inlineStr">
        <is>
          <t>أدوات صحية</t>
        </is>
      </c>
    </row>
    <row r="743">
      <c r="A743">
        <f>IMAGE("https://files.manuscdn.com/user_upload_by_module/session_file/310519663766182518/aaYOuHyNyykhHDDn.png")</f>
        <v/>
      </c>
      <c r="B743" t="inlineStr">
        <is>
          <t>product_page118_item04</t>
        </is>
      </c>
      <c r="C743" t="inlineStr">
        <is>
          <t>Blocko</t>
        </is>
      </c>
      <c r="D743" t="inlineStr">
        <is>
          <t>N/A</t>
        </is>
      </c>
      <c r="E743" t="inlineStr"/>
      <c r="F743" t="inlineStr">
        <is>
          <t>متنوع</t>
        </is>
      </c>
      <c r="G743" t="inlineStr"/>
      <c r="H743" t="inlineStr">
        <is>
          <t>1,000.00</t>
        </is>
      </c>
      <c r="I743" t="inlineStr">
        <is>
          <t>أدوات صحية</t>
        </is>
      </c>
    </row>
    <row r="744">
      <c r="A744">
        <f>IMAGE("https://files.manuscdn.com/user_upload_by_module/session_file/310519663766182518/rPFDFubcsiAwHxRJ.png")</f>
        <v/>
      </c>
      <c r="B744" t="inlineStr">
        <is>
          <t>product_page118_item05</t>
        </is>
      </c>
      <c r="C744" t="inlineStr">
        <is>
          <t>Blocko</t>
        </is>
      </c>
      <c r="D744" t="inlineStr">
        <is>
          <t>N/A</t>
        </is>
      </c>
      <c r="E744" t="inlineStr"/>
      <c r="F744" t="inlineStr">
        <is>
          <t>متنوع</t>
        </is>
      </c>
      <c r="G744" t="inlineStr"/>
      <c r="H744" t="inlineStr">
        <is>
          <t>1,000.00</t>
        </is>
      </c>
      <c r="I744" t="inlineStr">
        <is>
          <t>أدوات صحية</t>
        </is>
      </c>
    </row>
    <row r="745">
      <c r="A745">
        <f>IMAGE("https://files.manuscdn.com/user_upload_by_module/session_file/310519663766182518/lUbqoeTRtqOYVuTy.png")</f>
        <v/>
      </c>
      <c r="B745" t="inlineStr">
        <is>
          <t>product_page119_item00</t>
        </is>
      </c>
      <c r="C745" t="inlineStr">
        <is>
          <t>Blocko</t>
        </is>
      </c>
      <c r="D745" t="inlineStr">
        <is>
          <t>N/A</t>
        </is>
      </c>
      <c r="E745" t="inlineStr"/>
      <c r="F745" t="inlineStr">
        <is>
          <t>متنوع</t>
        </is>
      </c>
      <c r="G745" t="inlineStr"/>
      <c r="H745" t="inlineStr">
        <is>
          <t>1,000.00</t>
        </is>
      </c>
      <c r="I745" t="inlineStr">
        <is>
          <t>أدوات صحية</t>
        </is>
      </c>
    </row>
    <row r="746">
      <c r="A746">
        <f>IMAGE("https://files.manuscdn.com/user_upload_by_module/session_file/310519663766182518/OewDUIntMozkLHYa.png")</f>
        <v/>
      </c>
      <c r="B746" t="inlineStr">
        <is>
          <t>product_page119_item01</t>
        </is>
      </c>
      <c r="C746" t="inlineStr">
        <is>
          <t>Blocko</t>
        </is>
      </c>
      <c r="D746" t="inlineStr">
        <is>
          <t>N/A</t>
        </is>
      </c>
      <c r="E746" t="inlineStr"/>
      <c r="F746" t="inlineStr">
        <is>
          <t>متنوع</t>
        </is>
      </c>
      <c r="G746" t="inlineStr"/>
      <c r="H746" t="inlineStr">
        <is>
          <t>1,000.00</t>
        </is>
      </c>
      <c r="I746" t="inlineStr">
        <is>
          <t>أدوات صحية</t>
        </is>
      </c>
    </row>
    <row r="747">
      <c r="A747">
        <f>IMAGE("https://files.manuscdn.com/user_upload_by_module/session_file/310519663766182518/qVAsoQvuxCHcQIry.png")</f>
        <v/>
      </c>
      <c r="B747" t="inlineStr">
        <is>
          <t>product_page119_item02</t>
        </is>
      </c>
      <c r="C747" t="inlineStr">
        <is>
          <t>Blocko</t>
        </is>
      </c>
      <c r="D747" t="inlineStr">
        <is>
          <t>N/A</t>
        </is>
      </c>
      <c r="E747" t="inlineStr"/>
      <c r="F747" t="inlineStr">
        <is>
          <t>متنوع</t>
        </is>
      </c>
      <c r="G747" t="inlineStr"/>
      <c r="H747" t="inlineStr">
        <is>
          <t>1,000.00</t>
        </is>
      </c>
      <c r="I747" t="inlineStr">
        <is>
          <t>أدوات صحية</t>
        </is>
      </c>
    </row>
    <row r="748">
      <c r="A748">
        <f>IMAGE("https://files.manuscdn.com/user_upload_by_module/session_file/310519663766182518/RQhpvYQGUcbkLuud.png")</f>
        <v/>
      </c>
      <c r="B748" t="inlineStr">
        <is>
          <t>product_page119_item03</t>
        </is>
      </c>
      <c r="C748" t="inlineStr">
        <is>
          <t>Blocko</t>
        </is>
      </c>
      <c r="D748" t="inlineStr">
        <is>
          <t>N/A</t>
        </is>
      </c>
      <c r="E748" t="inlineStr"/>
      <c r="F748" t="inlineStr">
        <is>
          <t>متنوع</t>
        </is>
      </c>
      <c r="G748" t="inlineStr"/>
      <c r="H748" t="inlineStr">
        <is>
          <t>1,000.00</t>
        </is>
      </c>
      <c r="I748" t="inlineStr">
        <is>
          <t>أدوات صحية</t>
        </is>
      </c>
    </row>
    <row r="749">
      <c r="A749">
        <f>IMAGE("https://files.manuscdn.com/user_upload_by_module/session_file/310519663766182518/FMmduXthVZrAIDkH.png")</f>
        <v/>
      </c>
      <c r="B749" t="inlineStr">
        <is>
          <t>product_page119_item04</t>
        </is>
      </c>
      <c r="C749" t="inlineStr">
        <is>
          <t>Blocko</t>
        </is>
      </c>
      <c r="D749" t="inlineStr">
        <is>
          <t>N/A</t>
        </is>
      </c>
      <c r="E749" t="inlineStr"/>
      <c r="F749" t="inlineStr">
        <is>
          <t>متنوع</t>
        </is>
      </c>
      <c r="G749" t="inlineStr"/>
      <c r="H749" t="inlineStr">
        <is>
          <t>1,000.00</t>
        </is>
      </c>
      <c r="I749" t="inlineStr">
        <is>
          <t>أدوات صحية</t>
        </is>
      </c>
    </row>
    <row r="750">
      <c r="A750">
        <f>IMAGE("https://files.manuscdn.com/user_upload_by_module/session_file/310519663766182518/euSITnQGGjVSYjvz.png")</f>
        <v/>
      </c>
      <c r="B750" t="inlineStr">
        <is>
          <t>product_page119_item05</t>
        </is>
      </c>
      <c r="C750" t="inlineStr">
        <is>
          <t>Blocko</t>
        </is>
      </c>
      <c r="D750" t="inlineStr">
        <is>
          <t>N/A</t>
        </is>
      </c>
      <c r="E750" t="inlineStr"/>
      <c r="F750" t="inlineStr">
        <is>
          <t>متنوع</t>
        </is>
      </c>
      <c r="G750" t="inlineStr"/>
      <c r="H750" t="inlineStr">
        <is>
          <t>1,000.00</t>
        </is>
      </c>
      <c r="I750" t="inlineStr">
        <is>
          <t>أدوات صحية</t>
        </is>
      </c>
    </row>
    <row r="751">
      <c r="A751">
        <f>IMAGE("https://files.manuscdn.com/user_upload_by_module/session_file/310519663766182518/jObphWXXfOypFmnW.png")</f>
        <v/>
      </c>
      <c r="B751" t="inlineStr">
        <is>
          <t>product_page120_item00</t>
        </is>
      </c>
      <c r="C751" t="inlineStr">
        <is>
          <t>Blocko</t>
        </is>
      </c>
      <c r="D751" t="inlineStr">
        <is>
          <t>N/A</t>
        </is>
      </c>
      <c r="E751" t="inlineStr"/>
      <c r="F751" t="inlineStr">
        <is>
          <t>متنوع</t>
        </is>
      </c>
      <c r="G751" t="inlineStr"/>
      <c r="H751" t="inlineStr">
        <is>
          <t>1,000.00</t>
        </is>
      </c>
      <c r="I751" t="inlineStr">
        <is>
          <t>أدوات صحية</t>
        </is>
      </c>
    </row>
    <row r="752">
      <c r="A752">
        <f>IMAGE("https://files.manuscdn.com/user_upload_by_module/session_file/310519663766182518/zfHGkjlwohzEPWmf.png")</f>
        <v/>
      </c>
      <c r="B752" t="inlineStr">
        <is>
          <t>product_page121_item00</t>
        </is>
      </c>
      <c r="C752" t="inlineStr">
        <is>
          <t>Blocko</t>
        </is>
      </c>
      <c r="D752" t="inlineStr">
        <is>
          <t>N/A</t>
        </is>
      </c>
      <c r="E752" t="inlineStr"/>
      <c r="F752" t="inlineStr">
        <is>
          <t>متنوع</t>
        </is>
      </c>
      <c r="G752" t="inlineStr"/>
      <c r="H752" t="inlineStr">
        <is>
          <t>1,000.00</t>
        </is>
      </c>
      <c r="I752" t="inlineStr">
        <is>
          <t>أدوات صحية</t>
        </is>
      </c>
    </row>
    <row r="753">
      <c r="A753">
        <f>IMAGE("https://files.manuscdn.com/user_upload_by_module/session_file/310519663766182518/GCZCVuTwtFGMosyo.png")</f>
        <v/>
      </c>
      <c r="B753" t="inlineStr">
        <is>
          <t>product_page121_item01</t>
        </is>
      </c>
      <c r="C753" t="inlineStr">
        <is>
          <t>Blocko</t>
        </is>
      </c>
      <c r="D753" t="inlineStr">
        <is>
          <t>N/A</t>
        </is>
      </c>
      <c r="E753" t="inlineStr"/>
      <c r="F753" t="inlineStr">
        <is>
          <t>متنوع</t>
        </is>
      </c>
      <c r="G753" t="inlineStr"/>
      <c r="H753" t="inlineStr">
        <is>
          <t>1,000.00</t>
        </is>
      </c>
      <c r="I753" t="inlineStr">
        <is>
          <t>أدوات صحية</t>
        </is>
      </c>
    </row>
    <row r="754">
      <c r="A754">
        <f>IMAGE("https://files.manuscdn.com/user_upload_by_module/session_file/310519663766182518/HPtbUBTAXTVnsrWn.png")</f>
        <v/>
      </c>
      <c r="B754" t="inlineStr">
        <is>
          <t>product_page121_item02</t>
        </is>
      </c>
      <c r="C754" t="inlineStr">
        <is>
          <t>Blocko</t>
        </is>
      </c>
      <c r="D754" t="inlineStr">
        <is>
          <t>N/A</t>
        </is>
      </c>
      <c r="E754" t="inlineStr"/>
      <c r="F754" t="inlineStr">
        <is>
          <t>متنوع</t>
        </is>
      </c>
      <c r="G754" t="inlineStr"/>
      <c r="H754" t="inlineStr">
        <is>
          <t>1,000.00</t>
        </is>
      </c>
      <c r="I754" t="inlineStr">
        <is>
          <t>أدوات صحية</t>
        </is>
      </c>
    </row>
    <row r="755">
      <c r="A755">
        <f>IMAGE("https://files.manuscdn.com/user_upload_by_module/session_file/310519663766182518/iJNOYWIkmaglqmKg.png")</f>
        <v/>
      </c>
      <c r="B755" t="inlineStr">
        <is>
          <t>product_page121_item03</t>
        </is>
      </c>
      <c r="C755" t="inlineStr">
        <is>
          <t>Blocko</t>
        </is>
      </c>
      <c r="D755" t="inlineStr">
        <is>
          <t>N/A</t>
        </is>
      </c>
      <c r="E755" t="inlineStr"/>
      <c r="F755" t="inlineStr">
        <is>
          <t>متنوع</t>
        </is>
      </c>
      <c r="G755" t="inlineStr"/>
      <c r="H755" t="inlineStr">
        <is>
          <t>1,000.00</t>
        </is>
      </c>
      <c r="I755" t="inlineStr">
        <is>
          <t>أدوات صحية</t>
        </is>
      </c>
    </row>
    <row r="756">
      <c r="A756">
        <f>IMAGE("https://files.manuscdn.com/user_upload_by_module/session_file/310519663766182518/bwQzAxZccnNdpUEP.png")</f>
        <v/>
      </c>
      <c r="B756" t="inlineStr">
        <is>
          <t>product_page121_item04</t>
        </is>
      </c>
      <c r="C756" t="inlineStr">
        <is>
          <t>Blocko</t>
        </is>
      </c>
      <c r="D756" t="inlineStr">
        <is>
          <t>N/A</t>
        </is>
      </c>
      <c r="E756" t="inlineStr"/>
      <c r="F756" t="inlineStr">
        <is>
          <t>متنوع</t>
        </is>
      </c>
      <c r="G756" t="inlineStr"/>
      <c r="H756" t="inlineStr">
        <is>
          <t>1,000.00</t>
        </is>
      </c>
      <c r="I756" t="inlineStr">
        <is>
          <t>أدوات صحية</t>
        </is>
      </c>
    </row>
    <row r="757">
      <c r="A757">
        <f>IMAGE("https://files.manuscdn.com/user_upload_by_module/session_file/310519663766182518/LfAijqiUUiEfjKXo.png")</f>
        <v/>
      </c>
      <c r="B757" t="inlineStr">
        <is>
          <t>product_page121_item05</t>
        </is>
      </c>
      <c r="C757" t="inlineStr">
        <is>
          <t>Blocko</t>
        </is>
      </c>
      <c r="D757" t="inlineStr">
        <is>
          <t>N/A</t>
        </is>
      </c>
      <c r="E757" t="inlineStr"/>
      <c r="F757" t="inlineStr">
        <is>
          <t>متنوع</t>
        </is>
      </c>
      <c r="G757" t="inlineStr"/>
      <c r="H757" t="inlineStr">
        <is>
          <t>1,000.00</t>
        </is>
      </c>
      <c r="I757" t="inlineStr">
        <is>
          <t>أدوات صحية</t>
        </is>
      </c>
    </row>
    <row r="758">
      <c r="A758">
        <f>IMAGE("https://files.manuscdn.com/user_upload_by_module/session_file/310519663766182518/uqGxPJPYpbxLMnBz.png")</f>
        <v/>
      </c>
      <c r="B758" t="inlineStr">
        <is>
          <t>product_page121_item06</t>
        </is>
      </c>
      <c r="C758" t="inlineStr">
        <is>
          <t>Blocko</t>
        </is>
      </c>
      <c r="D758" t="inlineStr">
        <is>
          <t>N/A</t>
        </is>
      </c>
      <c r="E758" t="inlineStr"/>
      <c r="F758" t="inlineStr">
        <is>
          <t>متنوع</t>
        </is>
      </c>
      <c r="G758" t="inlineStr"/>
      <c r="H758" t="inlineStr">
        <is>
          <t>1,000.00</t>
        </is>
      </c>
      <c r="I758" t="inlineStr">
        <is>
          <t>أدوات صحية</t>
        </is>
      </c>
    </row>
    <row r="759">
      <c r="A759">
        <f>IMAGE("https://files.manuscdn.com/user_upload_by_module/session_file/310519663766182518/FIdQILUBYTXaTbTG.png")</f>
        <v/>
      </c>
      <c r="B759" t="inlineStr">
        <is>
          <t>product_page121_item07</t>
        </is>
      </c>
      <c r="C759" t="inlineStr">
        <is>
          <t>Blocko</t>
        </is>
      </c>
      <c r="D759" t="inlineStr">
        <is>
          <t>N/A</t>
        </is>
      </c>
      <c r="E759" t="inlineStr"/>
      <c r="F759" t="inlineStr">
        <is>
          <t>متنوع</t>
        </is>
      </c>
      <c r="G759" t="inlineStr"/>
      <c r="H759" t="inlineStr">
        <is>
          <t>1,000.00</t>
        </is>
      </c>
      <c r="I759" t="inlineStr">
        <is>
          <t>أدوات صحية</t>
        </is>
      </c>
    </row>
    <row r="760">
      <c r="A760">
        <f>IMAGE("https://files.manuscdn.com/user_upload_by_module/session_file/310519663766182518/mFIjZXOjRMNgJlqE.png")</f>
        <v/>
      </c>
      <c r="B760" t="inlineStr">
        <is>
          <t>product_page122_item00</t>
        </is>
      </c>
      <c r="C760" t="inlineStr">
        <is>
          <t>Blocko</t>
        </is>
      </c>
      <c r="D760" t="inlineStr">
        <is>
          <t>N/A</t>
        </is>
      </c>
      <c r="E760" t="inlineStr"/>
      <c r="F760" t="inlineStr">
        <is>
          <t>متنوع</t>
        </is>
      </c>
      <c r="G760" t="inlineStr"/>
      <c r="H760" t="inlineStr">
        <is>
          <t>1,000.00</t>
        </is>
      </c>
      <c r="I760" t="inlineStr">
        <is>
          <t>أدوات صحية</t>
        </is>
      </c>
    </row>
    <row r="761">
      <c r="A761">
        <f>IMAGE("https://files.manuscdn.com/user_upload_by_module/session_file/310519663766182518/jTgYmkaZEcbuNFVX.png")</f>
        <v/>
      </c>
      <c r="B761" t="inlineStr">
        <is>
          <t>product_page122_item01</t>
        </is>
      </c>
      <c r="C761" t="inlineStr">
        <is>
          <t>Blocko</t>
        </is>
      </c>
      <c r="D761" t="inlineStr">
        <is>
          <t>N/A</t>
        </is>
      </c>
      <c r="E761" t="inlineStr"/>
      <c r="F761" t="inlineStr">
        <is>
          <t>متنوع</t>
        </is>
      </c>
      <c r="G761" t="inlineStr"/>
      <c r="H761" t="inlineStr">
        <is>
          <t>1,000.00</t>
        </is>
      </c>
      <c r="I761" t="inlineStr">
        <is>
          <t>أدوات صحية</t>
        </is>
      </c>
    </row>
    <row r="762">
      <c r="A762">
        <f>IMAGE("https://files.manuscdn.com/user_upload_by_module/session_file/310519663766182518/nbjysCFNINVQmole.png")</f>
        <v/>
      </c>
      <c r="B762" t="inlineStr">
        <is>
          <t>product_page122_item02</t>
        </is>
      </c>
      <c r="C762" t="inlineStr">
        <is>
          <t>Blocko</t>
        </is>
      </c>
      <c r="D762" t="inlineStr">
        <is>
          <t>N/A</t>
        </is>
      </c>
      <c r="E762" t="inlineStr"/>
      <c r="F762" t="inlineStr">
        <is>
          <t>متنوع</t>
        </is>
      </c>
      <c r="G762" t="inlineStr"/>
      <c r="H762" t="inlineStr">
        <is>
          <t>1,000.00</t>
        </is>
      </c>
      <c r="I762" t="inlineStr">
        <is>
          <t>أدوات صحية</t>
        </is>
      </c>
    </row>
    <row r="763">
      <c r="A763">
        <f>IMAGE("https://files.manuscdn.com/user_upload_by_module/session_file/310519663766182518/iSfVAcsCUvwNLduV.png")</f>
        <v/>
      </c>
      <c r="B763" t="inlineStr">
        <is>
          <t>product_page122_item03</t>
        </is>
      </c>
      <c r="C763" t="inlineStr">
        <is>
          <t>Blocko</t>
        </is>
      </c>
      <c r="D763" t="inlineStr">
        <is>
          <t>N/A</t>
        </is>
      </c>
      <c r="E763" t="inlineStr"/>
      <c r="F763" t="inlineStr">
        <is>
          <t>متنوع</t>
        </is>
      </c>
      <c r="G763" t="inlineStr"/>
      <c r="H763" t="inlineStr">
        <is>
          <t>1,000.00</t>
        </is>
      </c>
      <c r="I763" t="inlineStr">
        <is>
          <t>أدوات صحية</t>
        </is>
      </c>
    </row>
    <row r="764">
      <c r="A764">
        <f>IMAGE("https://files.manuscdn.com/user_upload_by_module/session_file/310519663766182518/KoSPfHBrGNWHexxw.png")</f>
        <v/>
      </c>
      <c r="B764" t="inlineStr">
        <is>
          <t>product_page122_item04</t>
        </is>
      </c>
      <c r="C764" t="inlineStr">
        <is>
          <t>Blocko</t>
        </is>
      </c>
      <c r="D764" t="inlineStr">
        <is>
          <t>N/A</t>
        </is>
      </c>
      <c r="E764" t="inlineStr"/>
      <c r="F764" t="inlineStr">
        <is>
          <t>متنوع</t>
        </is>
      </c>
      <c r="G764" t="inlineStr"/>
      <c r="H764" t="inlineStr">
        <is>
          <t>1,000.00</t>
        </is>
      </c>
      <c r="I764" t="inlineStr">
        <is>
          <t>أدوات صحية</t>
        </is>
      </c>
    </row>
    <row r="765">
      <c r="A765">
        <f>IMAGE("https://files.manuscdn.com/user_upload_by_module/session_file/310519663766182518/bTXrpSbPVbUGEhqv.png")</f>
        <v/>
      </c>
      <c r="B765" t="inlineStr">
        <is>
          <t>product_page122_item05</t>
        </is>
      </c>
      <c r="C765" t="inlineStr">
        <is>
          <t>Blocko</t>
        </is>
      </c>
      <c r="D765" t="inlineStr">
        <is>
          <t>N/A</t>
        </is>
      </c>
      <c r="E765" t="inlineStr"/>
      <c r="F765" t="inlineStr">
        <is>
          <t>متنوع</t>
        </is>
      </c>
      <c r="G765" t="inlineStr"/>
      <c r="H765" t="inlineStr">
        <is>
          <t>1,000.00</t>
        </is>
      </c>
      <c r="I765" t="inlineStr">
        <is>
          <t>أدوات صحية</t>
        </is>
      </c>
    </row>
    <row r="766">
      <c r="A766">
        <f>IMAGE("https://files.manuscdn.com/user_upload_by_module/session_file/310519663766182518/OzQDfgPFYaaaIYau.png")</f>
        <v/>
      </c>
      <c r="B766" t="inlineStr">
        <is>
          <t>product_page122_item06</t>
        </is>
      </c>
      <c r="C766" t="inlineStr">
        <is>
          <t>Blocko</t>
        </is>
      </c>
      <c r="D766" t="inlineStr">
        <is>
          <t>N/A</t>
        </is>
      </c>
      <c r="E766" t="inlineStr"/>
      <c r="F766" t="inlineStr">
        <is>
          <t>متنوع</t>
        </is>
      </c>
      <c r="G766" t="inlineStr"/>
      <c r="H766" t="inlineStr">
        <is>
          <t>1,000.00</t>
        </is>
      </c>
      <c r="I766" t="inlineStr">
        <is>
          <t>أدوات صحية</t>
        </is>
      </c>
    </row>
    <row r="767">
      <c r="A767">
        <f>IMAGE("https://files.manuscdn.com/user_upload_by_module/session_file/310519663766182518/BPrhqXViMxctXUEj.png")</f>
        <v/>
      </c>
      <c r="B767" t="inlineStr">
        <is>
          <t>product_page122_item07</t>
        </is>
      </c>
      <c r="C767" t="inlineStr">
        <is>
          <t>Blocko</t>
        </is>
      </c>
      <c r="D767" t="inlineStr">
        <is>
          <t>N/A</t>
        </is>
      </c>
      <c r="E767" t="inlineStr"/>
      <c r="F767" t="inlineStr">
        <is>
          <t>متنوع</t>
        </is>
      </c>
      <c r="G767" t="inlineStr"/>
      <c r="H767" t="inlineStr">
        <is>
          <t>1,000.00</t>
        </is>
      </c>
      <c r="I767" t="inlineStr">
        <is>
          <t>أدوات صحية</t>
        </is>
      </c>
    </row>
    <row r="768">
      <c r="A768">
        <f>IMAGE("https://files.manuscdn.com/user_upload_by_module/session_file/310519663766182518/upOFMsmRdnYblbXf.png")</f>
        <v/>
      </c>
      <c r="B768" t="inlineStr">
        <is>
          <t>product_page123_item00</t>
        </is>
      </c>
      <c r="C768" t="inlineStr">
        <is>
          <t>Blocko</t>
        </is>
      </c>
      <c r="D768" t="inlineStr">
        <is>
          <t>N/A</t>
        </is>
      </c>
      <c r="E768" t="inlineStr"/>
      <c r="F768" t="inlineStr">
        <is>
          <t>متنوع</t>
        </is>
      </c>
      <c r="G768" t="inlineStr"/>
      <c r="H768" t="inlineStr">
        <is>
          <t>1,000.00</t>
        </is>
      </c>
      <c r="I768" t="inlineStr">
        <is>
          <t>أدوات صحية</t>
        </is>
      </c>
    </row>
    <row r="769">
      <c r="A769">
        <f>IMAGE("https://files.manuscdn.com/user_upload_by_module/session_file/310519663766182518/IUacuTvjAQpvSSzQ.png")</f>
        <v/>
      </c>
      <c r="B769" t="inlineStr">
        <is>
          <t>product_page123_item01</t>
        </is>
      </c>
      <c r="C769" t="inlineStr">
        <is>
          <t>Blocko</t>
        </is>
      </c>
      <c r="D769" t="inlineStr">
        <is>
          <t>N/A</t>
        </is>
      </c>
      <c r="E769" t="inlineStr"/>
      <c r="F769" t="inlineStr">
        <is>
          <t>متنوع</t>
        </is>
      </c>
      <c r="G769" t="inlineStr"/>
      <c r="H769" t="inlineStr">
        <is>
          <t>1,000.00</t>
        </is>
      </c>
      <c r="I769" t="inlineStr">
        <is>
          <t>أدوات صحية</t>
        </is>
      </c>
    </row>
    <row r="770">
      <c r="A770">
        <f>IMAGE("https://files.manuscdn.com/user_upload_by_module/session_file/310519663766182518/lopInupEdfTWQqgS.png")</f>
        <v/>
      </c>
      <c r="B770" t="inlineStr">
        <is>
          <t>product_page123_item02</t>
        </is>
      </c>
      <c r="C770" t="inlineStr">
        <is>
          <t>Blocko</t>
        </is>
      </c>
      <c r="D770" t="inlineStr">
        <is>
          <t>N/A</t>
        </is>
      </c>
      <c r="E770" t="inlineStr"/>
      <c r="F770" t="inlineStr">
        <is>
          <t>متنوع</t>
        </is>
      </c>
      <c r="G770" t="inlineStr"/>
      <c r="H770" t="inlineStr">
        <is>
          <t>1,000.00</t>
        </is>
      </c>
      <c r="I770" t="inlineStr">
        <is>
          <t>أدوات صحية</t>
        </is>
      </c>
    </row>
    <row r="771">
      <c r="A771">
        <f>IMAGE("https://files.manuscdn.com/user_upload_by_module/session_file/310519663766182518/kdHjKFSpZgwPAxYK.png")</f>
        <v/>
      </c>
      <c r="B771" t="inlineStr">
        <is>
          <t>product_page123_item03</t>
        </is>
      </c>
      <c r="C771" t="inlineStr">
        <is>
          <t>Blocko</t>
        </is>
      </c>
      <c r="D771" t="inlineStr">
        <is>
          <t>N/A</t>
        </is>
      </c>
      <c r="E771" t="inlineStr"/>
      <c r="F771" t="inlineStr">
        <is>
          <t>متنوع</t>
        </is>
      </c>
      <c r="G771" t="inlineStr"/>
      <c r="H771" t="inlineStr">
        <is>
          <t>1,000.00</t>
        </is>
      </c>
      <c r="I771" t="inlineStr">
        <is>
          <t>أدوات صحية</t>
        </is>
      </c>
    </row>
    <row r="772">
      <c r="A772">
        <f>IMAGE("https://files.manuscdn.com/user_upload_by_module/session_file/310519663766182518/qMGEaWDgITdBLOgP.png")</f>
        <v/>
      </c>
      <c r="B772" t="inlineStr">
        <is>
          <t>product_page123_item04</t>
        </is>
      </c>
      <c r="C772" t="inlineStr">
        <is>
          <t>Blocko</t>
        </is>
      </c>
      <c r="D772" t="inlineStr">
        <is>
          <t>N/A</t>
        </is>
      </c>
      <c r="E772" t="inlineStr"/>
      <c r="F772" t="inlineStr">
        <is>
          <t>متنوع</t>
        </is>
      </c>
      <c r="G772" t="inlineStr"/>
      <c r="H772" t="inlineStr">
        <is>
          <t>1,000.00</t>
        </is>
      </c>
      <c r="I772" t="inlineStr">
        <is>
          <t>أدوات صحية</t>
        </is>
      </c>
    </row>
    <row r="773">
      <c r="A773">
        <f>IMAGE("https://files.manuscdn.com/user_upload_by_module/session_file/310519663766182518/rBXjzJWyDBuPhnRO.png")</f>
        <v/>
      </c>
      <c r="B773" t="inlineStr">
        <is>
          <t>product_page123_item05</t>
        </is>
      </c>
      <c r="C773" t="inlineStr">
        <is>
          <t>Blocko</t>
        </is>
      </c>
      <c r="D773" t="inlineStr">
        <is>
          <t>N/A</t>
        </is>
      </c>
      <c r="E773" t="inlineStr"/>
      <c r="F773" t="inlineStr">
        <is>
          <t>متنوع</t>
        </is>
      </c>
      <c r="G773" t="inlineStr"/>
      <c r="H773" t="inlineStr">
        <is>
          <t>1,000.00</t>
        </is>
      </c>
      <c r="I773" t="inlineStr">
        <is>
          <t>أدوات صحية</t>
        </is>
      </c>
    </row>
    <row r="774">
      <c r="A774">
        <f>IMAGE("https://files.manuscdn.com/user_upload_by_module/session_file/310519663766182518/qoIOhGLDTyzuFkQt.png")</f>
        <v/>
      </c>
      <c r="B774" t="inlineStr">
        <is>
          <t>product_page124_item00</t>
        </is>
      </c>
      <c r="C774" t="inlineStr">
        <is>
          <t>Blocko</t>
        </is>
      </c>
      <c r="D774" t="inlineStr">
        <is>
          <t>N/A</t>
        </is>
      </c>
      <c r="E774" t="inlineStr"/>
      <c r="F774" t="inlineStr">
        <is>
          <t>متنوع</t>
        </is>
      </c>
      <c r="G774" t="inlineStr"/>
      <c r="H774" t="inlineStr">
        <is>
          <t>1,000.00</t>
        </is>
      </c>
      <c r="I774" t="inlineStr">
        <is>
          <t>أدوات صحية</t>
        </is>
      </c>
    </row>
    <row r="775">
      <c r="A775">
        <f>IMAGE("https://files.manuscdn.com/user_upload_by_module/session_file/310519663766182518/zCttApjjVzDxiUdW.png")</f>
        <v/>
      </c>
      <c r="B775" t="inlineStr">
        <is>
          <t>product_page124_item01</t>
        </is>
      </c>
      <c r="C775" t="inlineStr">
        <is>
          <t>Blocko</t>
        </is>
      </c>
      <c r="D775" t="inlineStr">
        <is>
          <t>N/A</t>
        </is>
      </c>
      <c r="E775" t="inlineStr"/>
      <c r="F775" t="inlineStr">
        <is>
          <t>متنوع</t>
        </is>
      </c>
      <c r="G775" t="inlineStr"/>
      <c r="H775" t="inlineStr">
        <is>
          <t>1,000.00</t>
        </is>
      </c>
      <c r="I775" t="inlineStr">
        <is>
          <t>أدوات صحية</t>
        </is>
      </c>
    </row>
    <row r="776">
      <c r="A776">
        <f>IMAGE("https://files.manuscdn.com/user_upload_by_module/session_file/310519663766182518/fEkFZiFsjrNwBQst.png")</f>
        <v/>
      </c>
      <c r="B776" t="inlineStr">
        <is>
          <t>product_page124_item02</t>
        </is>
      </c>
      <c r="C776" t="inlineStr">
        <is>
          <t>Blocko</t>
        </is>
      </c>
      <c r="D776" t="inlineStr">
        <is>
          <t>N/A</t>
        </is>
      </c>
      <c r="E776" t="inlineStr"/>
      <c r="F776" t="inlineStr">
        <is>
          <t>متنوع</t>
        </is>
      </c>
      <c r="G776" t="inlineStr"/>
      <c r="H776" t="inlineStr">
        <is>
          <t>1,000.00</t>
        </is>
      </c>
      <c r="I776" t="inlineStr">
        <is>
          <t>أدوات صحية</t>
        </is>
      </c>
    </row>
    <row r="777">
      <c r="A777">
        <f>IMAGE("https://files.manuscdn.com/user_upload_by_module/session_file/310519663766182518/MBFUnaWZAHxxJdJU.png")</f>
        <v/>
      </c>
      <c r="B777" t="inlineStr">
        <is>
          <t>product_page124_item03</t>
        </is>
      </c>
      <c r="C777" t="inlineStr">
        <is>
          <t>Blocko</t>
        </is>
      </c>
      <c r="D777" t="inlineStr">
        <is>
          <t>N/A</t>
        </is>
      </c>
      <c r="E777" t="inlineStr"/>
      <c r="F777" t="inlineStr">
        <is>
          <t>متنوع</t>
        </is>
      </c>
      <c r="G777" t="inlineStr"/>
      <c r="H777" t="inlineStr">
        <is>
          <t>1,000.00</t>
        </is>
      </c>
      <c r="I777" t="inlineStr">
        <is>
          <t>أدوات صحية</t>
        </is>
      </c>
    </row>
    <row r="778">
      <c r="A778">
        <f>IMAGE("https://files.manuscdn.com/user_upload_by_module/session_file/310519663766182518/TVPhftxUxbUdZTVX.png")</f>
        <v/>
      </c>
      <c r="B778" t="inlineStr">
        <is>
          <t>product_page125_item00</t>
        </is>
      </c>
      <c r="C778" t="inlineStr">
        <is>
          <t>Blocko</t>
        </is>
      </c>
      <c r="D778" t="inlineStr">
        <is>
          <t>N/A</t>
        </is>
      </c>
      <c r="E778" t="inlineStr"/>
      <c r="F778" t="inlineStr">
        <is>
          <t>متنوع</t>
        </is>
      </c>
      <c r="G778" t="inlineStr"/>
      <c r="H778" t="inlineStr">
        <is>
          <t>1,000.00</t>
        </is>
      </c>
      <c r="I778" t="inlineStr">
        <is>
          <t>أدوات صحية</t>
        </is>
      </c>
    </row>
    <row r="779">
      <c r="A779">
        <f>IMAGE("https://files.manuscdn.com/user_upload_by_module/session_file/310519663766182518/caYeYVLrwbBKWQKm.png")</f>
        <v/>
      </c>
      <c r="B779" t="inlineStr">
        <is>
          <t>product_page125_item01</t>
        </is>
      </c>
      <c r="C779" t="inlineStr">
        <is>
          <t>Blocko</t>
        </is>
      </c>
      <c r="D779" t="inlineStr">
        <is>
          <t>N/A</t>
        </is>
      </c>
      <c r="E779" t="inlineStr"/>
      <c r="F779" t="inlineStr">
        <is>
          <t>متنوع</t>
        </is>
      </c>
      <c r="G779" t="inlineStr"/>
      <c r="H779" t="inlineStr">
        <is>
          <t>1,000.00</t>
        </is>
      </c>
      <c r="I779" t="inlineStr">
        <is>
          <t>أدوات صحية</t>
        </is>
      </c>
    </row>
    <row r="780">
      <c r="A780">
        <f>IMAGE("https://files.manuscdn.com/user_upload_by_module/session_file/310519663766182518/rEQIdrdbedmgsZFS.png")</f>
        <v/>
      </c>
      <c r="B780" t="inlineStr">
        <is>
          <t>product_page125_item02</t>
        </is>
      </c>
      <c r="C780" t="inlineStr">
        <is>
          <t>Blocko</t>
        </is>
      </c>
      <c r="D780" t="inlineStr">
        <is>
          <t>N/A</t>
        </is>
      </c>
      <c r="E780" t="inlineStr"/>
      <c r="F780" t="inlineStr">
        <is>
          <t>متنوع</t>
        </is>
      </c>
      <c r="G780" t="inlineStr"/>
      <c r="H780" t="inlineStr">
        <is>
          <t>1,000.00</t>
        </is>
      </c>
      <c r="I780" t="inlineStr">
        <is>
          <t>أدوات صحية</t>
        </is>
      </c>
    </row>
    <row r="781">
      <c r="A781">
        <f>IMAGE("https://files.manuscdn.com/user_upload_by_module/session_file/310519663766182518/NrvmvidVGljeFysO.png")</f>
        <v/>
      </c>
      <c r="B781" t="inlineStr">
        <is>
          <t>product_page125_item03</t>
        </is>
      </c>
      <c r="C781" t="inlineStr">
        <is>
          <t>Blocko</t>
        </is>
      </c>
      <c r="D781" t="inlineStr">
        <is>
          <t>N/A</t>
        </is>
      </c>
      <c r="E781" t="inlineStr"/>
      <c r="F781" t="inlineStr">
        <is>
          <t>متنوع</t>
        </is>
      </c>
      <c r="G781" t="inlineStr"/>
      <c r="H781" t="inlineStr">
        <is>
          <t>1,000.00</t>
        </is>
      </c>
      <c r="I781" t="inlineStr">
        <is>
          <t>أدوات صحية</t>
        </is>
      </c>
    </row>
    <row r="782">
      <c r="A782">
        <f>IMAGE("https://files.manuscdn.com/user_upload_by_module/session_file/310519663766182518/zJSnVSdpkzHsUwRu.png")</f>
        <v/>
      </c>
      <c r="B782" t="inlineStr">
        <is>
          <t>product_page126_item00</t>
        </is>
      </c>
      <c r="C782" t="inlineStr">
        <is>
          <t>Blocko</t>
        </is>
      </c>
      <c r="D782" t="inlineStr">
        <is>
          <t>N/A</t>
        </is>
      </c>
      <c r="E782" t="inlineStr"/>
      <c r="F782" t="inlineStr">
        <is>
          <t>متنوع</t>
        </is>
      </c>
      <c r="G782" t="inlineStr"/>
      <c r="H782" t="inlineStr">
        <is>
          <t>1,000.00</t>
        </is>
      </c>
      <c r="I782" t="inlineStr">
        <is>
          <t>أدوات صحية</t>
        </is>
      </c>
    </row>
    <row r="783">
      <c r="A783">
        <f>IMAGE("https://files.manuscdn.com/user_upload_by_module/session_file/310519663766182518/nslBpjLekhIiKCgn.png")</f>
        <v/>
      </c>
      <c r="B783" t="inlineStr">
        <is>
          <t>product_page126_item01</t>
        </is>
      </c>
      <c r="C783" t="inlineStr">
        <is>
          <t>Blocko</t>
        </is>
      </c>
      <c r="D783" t="inlineStr">
        <is>
          <t>N/A</t>
        </is>
      </c>
      <c r="E783" t="inlineStr"/>
      <c r="F783" t="inlineStr">
        <is>
          <t>متنوع</t>
        </is>
      </c>
      <c r="G783" t="inlineStr"/>
      <c r="H783" t="inlineStr">
        <is>
          <t>1,000.00</t>
        </is>
      </c>
      <c r="I783" t="inlineStr">
        <is>
          <t>أدوات صحية</t>
        </is>
      </c>
    </row>
    <row r="784">
      <c r="A784">
        <f>IMAGE("https://files.manuscdn.com/user_upload_by_module/session_file/310519663766182518/pSzYFgLFIhQCrEVN.png")</f>
        <v/>
      </c>
      <c r="B784" t="inlineStr">
        <is>
          <t>product_page127_item01</t>
        </is>
      </c>
      <c r="C784" t="inlineStr">
        <is>
          <t>Blocko</t>
        </is>
      </c>
      <c r="D784" t="inlineStr">
        <is>
          <t>N/A</t>
        </is>
      </c>
      <c r="E784" t="inlineStr"/>
      <c r="F784" t="inlineStr">
        <is>
          <t>متنوع</t>
        </is>
      </c>
      <c r="G784" t="inlineStr"/>
      <c r="H784" t="inlineStr">
        <is>
          <t>1,000.00</t>
        </is>
      </c>
      <c r="I784" t="inlineStr">
        <is>
          <t>أدوات صحية</t>
        </is>
      </c>
    </row>
    <row r="785">
      <c r="A785">
        <f>IMAGE("https://files.manuscdn.com/user_upload_by_module/session_file/310519663766182518/TvRnZPDXCfqpEXbL.png")</f>
        <v/>
      </c>
      <c r="B785" t="inlineStr">
        <is>
          <t>product_page127_item02</t>
        </is>
      </c>
      <c r="C785" t="inlineStr">
        <is>
          <t>Blocko</t>
        </is>
      </c>
      <c r="D785" t="inlineStr">
        <is>
          <t>N/A</t>
        </is>
      </c>
      <c r="E785" t="inlineStr"/>
      <c r="F785" t="inlineStr">
        <is>
          <t>متنوع</t>
        </is>
      </c>
      <c r="G785" t="inlineStr"/>
      <c r="H785" t="inlineStr">
        <is>
          <t>1,000.00</t>
        </is>
      </c>
      <c r="I785" t="inlineStr">
        <is>
          <t>أدوات صحية</t>
        </is>
      </c>
    </row>
    <row r="786">
      <c r="A786">
        <f>IMAGE("https://files.manuscdn.com/user_upload_by_module/session_file/310519663766182518/lILcQpwyCmFzIGlX.png")</f>
        <v/>
      </c>
      <c r="B786" t="inlineStr">
        <is>
          <t>product_page127_item03</t>
        </is>
      </c>
      <c r="C786" t="inlineStr">
        <is>
          <t>Blocko</t>
        </is>
      </c>
      <c r="D786" t="inlineStr">
        <is>
          <t>N/A</t>
        </is>
      </c>
      <c r="E786" t="inlineStr"/>
      <c r="F786" t="inlineStr">
        <is>
          <t>متنوع</t>
        </is>
      </c>
      <c r="G786" t="inlineStr"/>
      <c r="H786" t="inlineStr">
        <is>
          <t>1,000.00</t>
        </is>
      </c>
      <c r="I786" t="inlineStr">
        <is>
          <t>أدوات صحية</t>
        </is>
      </c>
    </row>
    <row r="787">
      <c r="A787">
        <f>IMAGE("https://files.manuscdn.com/user_upload_by_module/session_file/310519663766182518/TkaslGuLbEZOvtKq.png")</f>
        <v/>
      </c>
      <c r="B787" t="inlineStr">
        <is>
          <t>product_page127_item05</t>
        </is>
      </c>
      <c r="C787" t="inlineStr">
        <is>
          <t>Blocko</t>
        </is>
      </c>
      <c r="D787" t="inlineStr">
        <is>
          <t>N/A</t>
        </is>
      </c>
      <c r="E787" t="inlineStr"/>
      <c r="F787" t="inlineStr">
        <is>
          <t>متنوع</t>
        </is>
      </c>
      <c r="G787" t="inlineStr"/>
      <c r="H787" t="inlineStr">
        <is>
          <t>1,000.00</t>
        </is>
      </c>
      <c r="I787" t="inlineStr">
        <is>
          <t>أدوات صحية</t>
        </is>
      </c>
    </row>
    <row r="788">
      <c r="A788">
        <f>IMAGE("https://files.manuscdn.com/user_upload_by_module/session_file/310519663766182518/nhMDTVGTaRUOPsQQ.png")</f>
        <v/>
      </c>
      <c r="B788" t="inlineStr">
        <is>
          <t>product_page127_item06</t>
        </is>
      </c>
      <c r="C788" t="inlineStr">
        <is>
          <t>Blocko</t>
        </is>
      </c>
      <c r="D788" t="inlineStr">
        <is>
          <t>N/A</t>
        </is>
      </c>
      <c r="E788" t="inlineStr"/>
      <c r="F788" t="inlineStr">
        <is>
          <t>متنوع</t>
        </is>
      </c>
      <c r="G788" t="inlineStr"/>
      <c r="H788" t="inlineStr">
        <is>
          <t>1,000.00</t>
        </is>
      </c>
      <c r="I788" t="inlineStr">
        <is>
          <t>أدوات صحية</t>
        </is>
      </c>
    </row>
    <row r="789">
      <c r="A789">
        <f>IMAGE("https://files.manuscdn.com/user_upload_by_module/session_file/310519663766182518/xjCYxPnpaSKTnFeM.png")</f>
        <v/>
      </c>
      <c r="B789" t="inlineStr">
        <is>
          <t>product_page127_item07</t>
        </is>
      </c>
      <c r="C789" t="inlineStr">
        <is>
          <t>Blocko</t>
        </is>
      </c>
      <c r="D789" t="inlineStr">
        <is>
          <t>N/A</t>
        </is>
      </c>
      <c r="E789" t="inlineStr"/>
      <c r="F789" t="inlineStr">
        <is>
          <t>متنوع</t>
        </is>
      </c>
      <c r="G789" t="inlineStr"/>
      <c r="H789" t="inlineStr">
        <is>
          <t>1,000.00</t>
        </is>
      </c>
      <c r="I789" t="inlineStr">
        <is>
          <t>أدوات صحية</t>
        </is>
      </c>
    </row>
    <row r="790">
      <c r="A790">
        <f>IMAGE("https://files.manuscdn.com/user_upload_by_module/session_file/310519663766182518/YhsHWqqyXzlamrPp.png")</f>
        <v/>
      </c>
      <c r="B790" t="inlineStr">
        <is>
          <t>product_page127_item08</t>
        </is>
      </c>
      <c r="C790" t="inlineStr">
        <is>
          <t>Blocko</t>
        </is>
      </c>
      <c r="D790" t="inlineStr">
        <is>
          <t>N/A</t>
        </is>
      </c>
      <c r="E790" t="inlineStr"/>
      <c r="F790" t="inlineStr">
        <is>
          <t>متنوع</t>
        </is>
      </c>
      <c r="G790" t="inlineStr"/>
      <c r="H790" t="inlineStr">
        <is>
          <t>1,000.00</t>
        </is>
      </c>
      <c r="I790" t="inlineStr">
        <is>
          <t>أدوات صحية</t>
        </is>
      </c>
    </row>
    <row r="791">
      <c r="A791">
        <f>IMAGE("https://files.manuscdn.com/user_upload_by_module/session_file/310519663766182518/ugCbEymjVgRIErqI.png")</f>
        <v/>
      </c>
      <c r="B791" t="inlineStr">
        <is>
          <t>product_page127_item09</t>
        </is>
      </c>
      <c r="C791" t="inlineStr">
        <is>
          <t>Blocko</t>
        </is>
      </c>
      <c r="D791" t="inlineStr">
        <is>
          <t>N/A</t>
        </is>
      </c>
      <c r="E791" t="inlineStr"/>
      <c r="F791" t="inlineStr">
        <is>
          <t>متنوع</t>
        </is>
      </c>
      <c r="G791" t="inlineStr"/>
      <c r="H791" t="inlineStr">
        <is>
          <t>1,000.00</t>
        </is>
      </c>
      <c r="I791" t="inlineStr">
        <is>
          <t>أدوات صحية</t>
        </is>
      </c>
    </row>
    <row r="792">
      <c r="A792">
        <f>IMAGE("https://files.manuscdn.com/user_upload_by_module/session_file/310519663766182518/PCLokMJfyNnMbLbG.png")</f>
        <v/>
      </c>
      <c r="B792" t="inlineStr">
        <is>
          <t>product_page127_item10</t>
        </is>
      </c>
      <c r="C792" t="inlineStr">
        <is>
          <t>Blocko</t>
        </is>
      </c>
      <c r="D792" t="inlineStr">
        <is>
          <t>N/A</t>
        </is>
      </c>
      <c r="E792" t="inlineStr"/>
      <c r="F792" t="inlineStr">
        <is>
          <t>متنوع</t>
        </is>
      </c>
      <c r="G792" t="inlineStr"/>
      <c r="H792" t="inlineStr">
        <is>
          <t>1,000.00</t>
        </is>
      </c>
      <c r="I792" t="inlineStr">
        <is>
          <t>أدوات صحية</t>
        </is>
      </c>
    </row>
    <row r="793">
      <c r="A793">
        <f>IMAGE("https://files.manuscdn.com/user_upload_by_module/session_file/310519663766182518/rdqBsBwtYFMTLXrT.png")</f>
        <v/>
      </c>
      <c r="B793" t="inlineStr">
        <is>
          <t>product_page127_item11</t>
        </is>
      </c>
      <c r="C793" t="inlineStr">
        <is>
          <t>Blocko</t>
        </is>
      </c>
      <c r="D793" t="inlineStr">
        <is>
          <t>N/A</t>
        </is>
      </c>
      <c r="E793" t="inlineStr"/>
      <c r="F793" t="inlineStr">
        <is>
          <t>متنوع</t>
        </is>
      </c>
      <c r="G793" t="inlineStr"/>
      <c r="H793" t="inlineStr">
        <is>
          <t>1,000.00</t>
        </is>
      </c>
      <c r="I793" t="inlineStr">
        <is>
          <t>أدوات صحية</t>
        </is>
      </c>
    </row>
    <row r="794">
      <c r="A794">
        <f>IMAGE("https://files.manuscdn.com/user_upload_by_module/session_file/310519663766182518/iQfplrzzEMiqNuZK.png")</f>
        <v/>
      </c>
      <c r="B794" t="inlineStr">
        <is>
          <t>product_page128_item00</t>
        </is>
      </c>
      <c r="C794" t="inlineStr">
        <is>
          <t>Blocko</t>
        </is>
      </c>
      <c r="D794" t="inlineStr">
        <is>
          <t>N/A</t>
        </is>
      </c>
      <c r="E794" t="inlineStr"/>
      <c r="F794" t="inlineStr">
        <is>
          <t>متنوع</t>
        </is>
      </c>
      <c r="G794" t="inlineStr"/>
      <c r="H794" t="inlineStr">
        <is>
          <t>1,000.00</t>
        </is>
      </c>
      <c r="I794" t="inlineStr">
        <is>
          <t>أدوات صحية</t>
        </is>
      </c>
    </row>
    <row r="795">
      <c r="A795">
        <f>IMAGE("https://files.manuscdn.com/user_upload_by_module/session_file/310519663766182518/qzIAUUZXprTaxarp.png")</f>
        <v/>
      </c>
      <c r="B795" t="inlineStr">
        <is>
          <t>product_page128_item01</t>
        </is>
      </c>
      <c r="C795" t="inlineStr">
        <is>
          <t>Blocko</t>
        </is>
      </c>
      <c r="D795" t="inlineStr">
        <is>
          <t>N/A</t>
        </is>
      </c>
      <c r="E795" t="inlineStr"/>
      <c r="F795" t="inlineStr">
        <is>
          <t>متنوع</t>
        </is>
      </c>
      <c r="G795" t="inlineStr"/>
      <c r="H795" t="inlineStr">
        <is>
          <t>1,000.00</t>
        </is>
      </c>
      <c r="I795" t="inlineStr">
        <is>
          <t>أدوات صحية</t>
        </is>
      </c>
    </row>
    <row r="796">
      <c r="A796">
        <f>IMAGE("https://files.manuscdn.com/user_upload_by_module/session_file/310519663766182518/XIFaXgKyrODSpJOu.png")</f>
        <v/>
      </c>
      <c r="B796" t="inlineStr">
        <is>
          <t>product_page128_item02</t>
        </is>
      </c>
      <c r="C796" t="inlineStr">
        <is>
          <t>Blocko</t>
        </is>
      </c>
      <c r="D796" t="inlineStr">
        <is>
          <t>N/A</t>
        </is>
      </c>
      <c r="E796" t="inlineStr"/>
      <c r="F796" t="inlineStr">
        <is>
          <t>متنوع</t>
        </is>
      </c>
      <c r="G796" t="inlineStr"/>
      <c r="H796" t="inlineStr">
        <is>
          <t>1,000.00</t>
        </is>
      </c>
      <c r="I796" t="inlineStr">
        <is>
          <t>أدوات صحية</t>
        </is>
      </c>
    </row>
    <row r="797">
      <c r="A797">
        <f>IMAGE("https://files.manuscdn.com/user_upload_by_module/session_file/310519663766182518/bBZZXsQWEGnaXEUT.png")</f>
        <v/>
      </c>
      <c r="B797" t="inlineStr">
        <is>
          <t>product_page129_item00</t>
        </is>
      </c>
      <c r="C797" t="inlineStr">
        <is>
          <t>Blocko</t>
        </is>
      </c>
      <c r="D797" t="inlineStr">
        <is>
          <t>N/A</t>
        </is>
      </c>
      <c r="E797" t="inlineStr"/>
      <c r="F797" t="inlineStr">
        <is>
          <t>متنوع</t>
        </is>
      </c>
      <c r="G797" t="inlineStr"/>
      <c r="H797" t="inlineStr">
        <is>
          <t>1,000.00</t>
        </is>
      </c>
      <c r="I797" t="inlineStr">
        <is>
          <t>أدوات صحية</t>
        </is>
      </c>
    </row>
    <row r="798">
      <c r="A798">
        <f>IMAGE("https://files.manuscdn.com/user_upload_by_module/session_file/310519663766182518/bxqhKbzkGfrBoLeu.png")</f>
        <v/>
      </c>
      <c r="B798" t="inlineStr">
        <is>
          <t>product_page129_item01</t>
        </is>
      </c>
      <c r="C798" t="inlineStr">
        <is>
          <t>Blocko</t>
        </is>
      </c>
      <c r="D798" t="inlineStr">
        <is>
          <t>N/A</t>
        </is>
      </c>
      <c r="E798" t="inlineStr"/>
      <c r="F798" t="inlineStr">
        <is>
          <t>متنوع</t>
        </is>
      </c>
      <c r="G798" t="inlineStr"/>
      <c r="H798" t="inlineStr">
        <is>
          <t>1,000.00</t>
        </is>
      </c>
      <c r="I798" t="inlineStr">
        <is>
          <t>أدوات صحية</t>
        </is>
      </c>
    </row>
    <row r="799">
      <c r="A799">
        <f>IMAGE("https://files.manuscdn.com/user_upload_by_module/session_file/310519663766182518/ECKpAONRoJKhXlyN.png")</f>
        <v/>
      </c>
      <c r="B799" t="inlineStr">
        <is>
          <t>product_page129_item02</t>
        </is>
      </c>
      <c r="C799" t="inlineStr">
        <is>
          <t>Blocko</t>
        </is>
      </c>
      <c r="D799" t="inlineStr">
        <is>
          <t>N/A</t>
        </is>
      </c>
      <c r="E799" t="inlineStr"/>
      <c r="F799" t="inlineStr">
        <is>
          <t>متنوع</t>
        </is>
      </c>
      <c r="G799" t="inlineStr"/>
      <c r="H799" t="inlineStr">
        <is>
          <t>1,000.00</t>
        </is>
      </c>
      <c r="I799" t="inlineStr">
        <is>
          <t>أدوات صحية</t>
        </is>
      </c>
    </row>
    <row r="800">
      <c r="A800">
        <f>IMAGE("https://files.manuscdn.com/user_upload_by_module/session_file/310519663766182518/AezhgIgpbZxQYYaV.png")</f>
        <v/>
      </c>
      <c r="B800" t="inlineStr">
        <is>
          <t>product_page130_item00</t>
        </is>
      </c>
      <c r="C800" t="inlineStr">
        <is>
          <t>Blocko</t>
        </is>
      </c>
      <c r="D800" t="inlineStr">
        <is>
          <t>N/A</t>
        </is>
      </c>
      <c r="E800" t="inlineStr"/>
      <c r="F800" t="inlineStr">
        <is>
          <t>متنوع</t>
        </is>
      </c>
      <c r="G800" t="inlineStr"/>
      <c r="H800" t="inlineStr">
        <is>
          <t>1,000.00</t>
        </is>
      </c>
      <c r="I800" t="inlineStr">
        <is>
          <t>أدوات صحية</t>
        </is>
      </c>
    </row>
    <row r="801">
      <c r="A801">
        <f>IMAGE("https://files.manuscdn.com/user_upload_by_module/session_file/310519663766182518/XtjiNSTyLejWLZQt.png")</f>
        <v/>
      </c>
      <c r="B801" t="inlineStr">
        <is>
          <t>product_page130_item01</t>
        </is>
      </c>
      <c r="C801" t="inlineStr">
        <is>
          <t>Blocko</t>
        </is>
      </c>
      <c r="D801" t="inlineStr">
        <is>
          <t>N/A</t>
        </is>
      </c>
      <c r="E801" t="inlineStr"/>
      <c r="F801" t="inlineStr">
        <is>
          <t>متنوع</t>
        </is>
      </c>
      <c r="G801" t="inlineStr"/>
      <c r="H801" t="inlineStr">
        <is>
          <t>1,000.00</t>
        </is>
      </c>
      <c r="I801" t="inlineStr">
        <is>
          <t>أدوات صحية</t>
        </is>
      </c>
    </row>
    <row r="802">
      <c r="A802">
        <f>IMAGE("https://files.manuscdn.com/user_upload_by_module/session_file/310519663766182518/DbiHIzAqRRJOTKtH.png")</f>
        <v/>
      </c>
      <c r="B802" t="inlineStr">
        <is>
          <t>product_page131_item00</t>
        </is>
      </c>
      <c r="C802" t="inlineStr">
        <is>
          <t>Blocko</t>
        </is>
      </c>
      <c r="D802" t="inlineStr">
        <is>
          <t>N/A</t>
        </is>
      </c>
      <c r="E802" t="inlineStr"/>
      <c r="F802" t="inlineStr">
        <is>
          <t>متنوع</t>
        </is>
      </c>
      <c r="G802" t="inlineStr"/>
      <c r="H802" t="inlineStr">
        <is>
          <t>1,000.00</t>
        </is>
      </c>
      <c r="I802" t="inlineStr">
        <is>
          <t>أدوات صحية</t>
        </is>
      </c>
    </row>
    <row r="803">
      <c r="A803">
        <f>IMAGE("https://files.manuscdn.com/user_upload_by_module/session_file/310519663766182518/UmUhzlcltLQDsGIu.png")</f>
        <v/>
      </c>
      <c r="B803" t="inlineStr">
        <is>
          <t>product_page131_item01</t>
        </is>
      </c>
      <c r="C803" t="inlineStr">
        <is>
          <t>Blocko</t>
        </is>
      </c>
      <c r="D803" t="inlineStr">
        <is>
          <t>N/A</t>
        </is>
      </c>
      <c r="E803" t="inlineStr"/>
      <c r="F803" t="inlineStr">
        <is>
          <t>متنوع</t>
        </is>
      </c>
      <c r="G803" t="inlineStr"/>
      <c r="H803" t="inlineStr">
        <is>
          <t>1,000.00</t>
        </is>
      </c>
      <c r="I803" t="inlineStr">
        <is>
          <t>أدوات صحية</t>
        </is>
      </c>
    </row>
    <row r="804">
      <c r="A804">
        <f>IMAGE("https://files.manuscdn.com/user_upload_by_module/session_file/310519663766182518/wAYxRSAJfBaHkRib.png")</f>
        <v/>
      </c>
      <c r="B804" t="inlineStr">
        <is>
          <t>product_page131_item02</t>
        </is>
      </c>
      <c r="C804" t="inlineStr">
        <is>
          <t>Blocko</t>
        </is>
      </c>
      <c r="D804" t="inlineStr">
        <is>
          <t>N/A</t>
        </is>
      </c>
      <c r="E804" t="inlineStr"/>
      <c r="F804" t="inlineStr">
        <is>
          <t>متنوع</t>
        </is>
      </c>
      <c r="G804" t="inlineStr"/>
      <c r="H804" t="inlineStr">
        <is>
          <t>1,000.00</t>
        </is>
      </c>
      <c r="I804" t="inlineStr">
        <is>
          <t>أدوات صحية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2026-06-26T21:57:40Z</dcterms:created>
  <dcterms:modified xmlns:dcterms="http://purl.org/dc/terms/" xmlns:xsi="http://www.w3.org/2001/XMLSchema-instance" xsi:type="dcterms:W3CDTF">2026-06-26T21:57:40Z</dcterms:modified>
</cp:coreProperties>
</file>