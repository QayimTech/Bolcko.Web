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<sst xmlns="http://schemas.openxmlformats.org/spreadsheetml/2006/main" count="1969" uniqueCount="765">
  <si>
    <t>الصورة</t>
  </si>
  <si>
    <t>اسم المنتج</t>
  </si>
  <si>
    <t>البراند</t>
  </si>
  <si>
    <t>بلد المنشأ</t>
  </si>
  <si>
    <t>الوصف</t>
  </si>
  <si>
    <t>التصنيف</t>
  </si>
  <si>
    <t>السعر</t>
  </si>
  <si>
    <t>كتالوج الخردوات 6-5-2026_page-0001</t>
  </si>
  <si>
    <t>N/A</t>
  </si>
  <si>
    <t>خردوات</t>
  </si>
  <si>
    <t>كتالوج الخردوات 6-5-2026_page-0002</t>
  </si>
  <si>
    <t>كتالوج الخردوات 6-5-2026_page-0003</t>
  </si>
  <si>
    <t>كتالوج الخردوات 6-5-2026_page-0004</t>
  </si>
  <si>
    <t>كتالوج الخردوات 6-5-2026_page-0005</t>
  </si>
  <si>
    <t>كتالوج الخردوات 6-5-2026_page-0006</t>
  </si>
  <si>
    <t>كتالوج الخردوات 6-5-2026_page-0007</t>
  </si>
  <si>
    <t>كتالوج الخردوات 6-5-2026_page-0008</t>
  </si>
  <si>
    <t>كتالوج الخردوات 6-5-2026_page-0009</t>
  </si>
  <si>
    <t>كتالوج الخردوات 6-5-2026_page-0010</t>
  </si>
  <si>
    <t>كتالوج الخردوات 6-5-2026_page-0011</t>
  </si>
  <si>
    <t>كتالوج الخردوات 6-5-2026_page-0012</t>
  </si>
  <si>
    <t>كتالوج الخردوات 6-5-2026_page-0013</t>
  </si>
  <si>
    <t>كتالوج الخردوات 6-5-2026_page-0014</t>
  </si>
  <si>
    <t>كتالوج الخردوات 6-5-2026_page-0015</t>
  </si>
  <si>
    <t>كتالوج الخردوات 6-5-2026_page-0016</t>
  </si>
  <si>
    <t>كتالوج الخردوات 6-5-2026_page-0017</t>
  </si>
  <si>
    <t>كتالوج الخردوات 6-5-2026_page-0018</t>
  </si>
  <si>
    <t>كتالوج الخردوات 6-5-2026_page-0019</t>
  </si>
  <si>
    <t>كتالوج الخردوات 6-5-2026_page-0020</t>
  </si>
  <si>
    <t>كتالوج الخردوات 6-5-2026_page-0021</t>
  </si>
  <si>
    <t>كتالوج الخردوات 6-5-2026_page-0022</t>
  </si>
  <si>
    <t>كتالوج الخردوات 6-5-2026_page-0023</t>
  </si>
  <si>
    <t>كتالوج الخردوات 6-5-2026_page-0024</t>
  </si>
  <si>
    <t>كتالوج الخردوات 6-5-2026_page-0025</t>
  </si>
  <si>
    <t>كتالوج الخردوات 6-5-2026_page-0026</t>
  </si>
  <si>
    <t>كتالوج الخردوات 6-5-2026_page-0027</t>
  </si>
  <si>
    <t>كتالوج الخردوات 6-5-2026_page-0028</t>
  </si>
  <si>
    <t>كتالوج الخردوات 6-5-2026_page-0029</t>
  </si>
  <si>
    <t>كتالوج الخردوات 6-5-2026_page-0030</t>
  </si>
  <si>
    <t>كتالوج الخردوات 6-5-2026_page-0031</t>
  </si>
  <si>
    <t>كتالوج الخردوات 6-5-2026_page-0032</t>
  </si>
  <si>
    <t>كتالوج الخردوات 6-5-2026_page-0033</t>
  </si>
  <si>
    <t>كتالوج الخردوات 6-5-2026_page-0034</t>
  </si>
  <si>
    <t>كتالوج الخردوات 6-5-2026_page-0035</t>
  </si>
  <si>
    <t>كتالوج الخردوات 6-5-2026_page-0036</t>
  </si>
  <si>
    <t>كتالوج الخردوات 6-5-2026_page-0037</t>
  </si>
  <si>
    <t>كتالوج الخردوات 6-5-2026_page-0038</t>
  </si>
  <si>
    <t>كتالوج الخردوات 6-5-2026_page-0039</t>
  </si>
  <si>
    <t>كتالوج الخردوات 6-5-2026_page-0040</t>
  </si>
  <si>
    <t>كتالوج الخردوات 6-5-2026_page-0041</t>
  </si>
  <si>
    <t>كتالوج الخردوات 6-5-2026_page-0042</t>
  </si>
  <si>
    <t>كتالوج الخردوات 6-5-2026_page-0043</t>
  </si>
  <si>
    <t>كتالوج الخردوات 6-5-2026_page-0044</t>
  </si>
  <si>
    <t>كتالوج الخردوات 6-5-2026_page-0045</t>
  </si>
  <si>
    <t>كتالوج الخردوات 6-5-2026_page-0046</t>
  </si>
  <si>
    <t>كتالوج الخردوات 6-5-2026_page-0047</t>
  </si>
  <si>
    <t>كتالوج الخردوات 6-5-2026_page-0048</t>
  </si>
  <si>
    <t>كتالوج الخردوات 6-5-2026_page-0049</t>
  </si>
  <si>
    <t>كتالوج الخردوات 6-5-2026_page-0050</t>
  </si>
  <si>
    <t>كتالوج الخردوات 6-5-2026_page-0051</t>
  </si>
  <si>
    <t>كتالوج الخردوات 6-5-2026_page-0052</t>
  </si>
  <si>
    <t>كتالوج الخردوات 6-5-2026_page-0053</t>
  </si>
  <si>
    <t>كتالوج الخردوات 6-5-2026_page-0054</t>
  </si>
  <si>
    <t>كتالوج الخردوات 6-5-2026_page-0055</t>
  </si>
  <si>
    <t>كتالوج الخردوات 6-5-2026_page-0056</t>
  </si>
  <si>
    <t>كتالوج الخردوات 6-5-2026_page-0057</t>
  </si>
  <si>
    <t>كتالوج الخردوات 6-5-2026_page-0058</t>
  </si>
  <si>
    <t>كتالوج الخردوات 6-5-2026_page-0059</t>
  </si>
  <si>
    <t>كتالوج الخردوات 6-5-2026_page-0060</t>
  </si>
  <si>
    <t>كتالوج الخردوات 6-5-2026_page-0061</t>
  </si>
  <si>
    <t>كتالوج الخردوات 6-5-2026_page-0062</t>
  </si>
  <si>
    <t>كتالوج الخردوات 6-5-2026_page-0063</t>
  </si>
  <si>
    <t>كتالوج الخردوات 6-5-2026_page-0064</t>
  </si>
  <si>
    <t>كتالوج الخردوات 6-5-2026_page-0065</t>
  </si>
  <si>
    <t>كتالوج الخردوات 6-5-2026_page-0066</t>
  </si>
  <si>
    <t>كتالوج الخردوات 6-5-2026_page-0067</t>
  </si>
  <si>
    <t>كتالوج الخردوات 6-5-2026_page-0068</t>
  </si>
  <si>
    <t>كتالوج الخردوات 6-5-2026_page-0069</t>
  </si>
  <si>
    <t>كتالوج الخردوات 6-5-2026_page-0070</t>
  </si>
  <si>
    <t>كتالوج الخردوات 6-5-2026_page-0071</t>
  </si>
  <si>
    <t>كتالوج الخردوات 6-5-2026_page-0072</t>
  </si>
  <si>
    <t>كتالوج الخردوات 6-5-2026_page-0073</t>
  </si>
  <si>
    <t>كتالوج الخردوات 6-5-2026_page-0074</t>
  </si>
  <si>
    <t>كتالوج الخردوات 6-5-2026_page-0075</t>
  </si>
  <si>
    <t>كتالوج الخردوات 6-5-2026_page-0076</t>
  </si>
  <si>
    <t>كتالوج الخردوات 6-5-2026_page-0077</t>
  </si>
  <si>
    <t>كتالوج الخردوات 6-5-2026_page-0078</t>
  </si>
  <si>
    <t>كتالوج الخردوات 6-5-2026_page-0079</t>
  </si>
  <si>
    <t>كتالوج الخردوات 6-5-2026_page-0080</t>
  </si>
  <si>
    <t>كتالوج الخردوات 6-5-2026_page-0081</t>
  </si>
  <si>
    <t>كتالوج الخردوات 6-5-2026_page-0082</t>
  </si>
  <si>
    <t>كتالوج الخردوات 6-5-2026_page-0083</t>
  </si>
  <si>
    <t>كتالوج الخردوات 6-5-2026_page-0084</t>
  </si>
  <si>
    <t>كتالوج الخردوات 6-5-2026_page-0085</t>
  </si>
  <si>
    <t>كتالوج الخردوات 6-5-2026_page-0086</t>
  </si>
  <si>
    <t>كتالوج الخردوات 6-5-2026_page-0087</t>
  </si>
  <si>
    <t>كتالوج الخردوات 6-5-2026_page-0088</t>
  </si>
  <si>
    <t>كتالوج الخردوات 6-5-2026_page-0089</t>
  </si>
  <si>
    <t>كتالوج الخردوات 6-5-2026_page-0090</t>
  </si>
  <si>
    <t>كتالوج الخردوات 6-5-2026_page-0091</t>
  </si>
  <si>
    <t>كتالوج الخردوات 6-5-2026_page-0092</t>
  </si>
  <si>
    <t>كتالوج الخردوات 6-5-2026_page-0093</t>
  </si>
  <si>
    <t>كتالوج الخردوات 6-5-2026_page-0094</t>
  </si>
  <si>
    <t>كتالوج الخردوات 6-5-2026_page-0095</t>
  </si>
  <si>
    <t>كتالوج الخردوات 6-5-2026_page-0096</t>
  </si>
  <si>
    <t>كتالوج الخردوات 6-5-2026_page-0097</t>
  </si>
  <si>
    <t>كتالوج الخردوات 6-5-2026_page-0098</t>
  </si>
  <si>
    <t>كتالوج الخردوات 6-5-2026_page-0099</t>
  </si>
  <si>
    <t>كتالوج الخردوات 6-5-2026_page-0100</t>
  </si>
  <si>
    <t>كتالوج الخردوات 6-5-2026_page-0101</t>
  </si>
  <si>
    <t>كتالوج الخردوات 6-5-2026_page-0102</t>
  </si>
  <si>
    <t>كتالوج الخردوات 6-5-2026_page-0103</t>
  </si>
  <si>
    <t>كتالوج الخردوات 6-5-2026_page-0104</t>
  </si>
  <si>
    <t>كتالوج الخردوات 6-5-2026_page-0105</t>
  </si>
  <si>
    <t>كتالوج الخردوات 6-5-2026_page-0106</t>
  </si>
  <si>
    <t>كتالوج الخردوات 6-5-2026_page-0107</t>
  </si>
  <si>
    <t>كتالوج الخردوات 6-5-2026_page-0108</t>
  </si>
  <si>
    <t>كتالوج الخردوات 6-5-2026_page-0109</t>
  </si>
  <si>
    <t>كتالوج الخردوات 6-5-2026_page-0110</t>
  </si>
  <si>
    <t>كتالوج الخردوات 6-5-2026_page-0111</t>
  </si>
  <si>
    <t>كتالوج الخردوات 6-5-2026_page-0112</t>
  </si>
  <si>
    <t>كتالوج الخردوات 6-5-2026_page-0113</t>
  </si>
  <si>
    <t>كتالوج الخردوات 6-5-2026_page-0114</t>
  </si>
  <si>
    <t>كتالوج الخردوات 6-5-2026_page-0115</t>
  </si>
  <si>
    <t>كتالوج الخردوات 6-5-2026_page-0116</t>
  </si>
  <si>
    <t>كتالوج الخردوات 6-5-2026_page-0117</t>
  </si>
  <si>
    <t>كتالوج الخردوات 6-5-2026_page-0118</t>
  </si>
  <si>
    <t>كتالوج الخردوات 6-5-2026_page-0119</t>
  </si>
  <si>
    <t>كتالوج الخردوات 6-5-2026_page-0120</t>
  </si>
  <si>
    <t>كتالوج الخردوات 6-5-2026_page-0121</t>
  </si>
  <si>
    <t>كتالوج الصحي 9-5-2026-page-10</t>
  </si>
  <si>
    <t>صحي</t>
  </si>
  <si>
    <t>كتالوج الصحي 9-5-2026-page-100</t>
  </si>
  <si>
    <t>كتالوج الصحي 9-5-2026-page-101</t>
  </si>
  <si>
    <t>كتالوج الصحي 9-5-2026-page-102</t>
  </si>
  <si>
    <t>كتالوج الصحي 9-5-2026-page-103</t>
  </si>
  <si>
    <t>كتالوج الصحي 9-5-2026-page-104</t>
  </si>
  <si>
    <t>كتالوج الصحي 9-5-2026-page-105</t>
  </si>
  <si>
    <t>كتالوج الصحي 9-5-2026-page-106</t>
  </si>
  <si>
    <t>كتالوج الصحي 9-5-2026-page-107</t>
  </si>
  <si>
    <t>كتالوج الصحي 9-5-2026-page-108</t>
  </si>
  <si>
    <t>كتالوج الصحي 9-5-2026-page-109</t>
  </si>
  <si>
    <t>كتالوج الصحي 9-5-2026-page-11</t>
  </si>
  <si>
    <t>كتالوج الصحي 9-5-2026-page-110</t>
  </si>
  <si>
    <t>كتالوج الصحي 9-5-2026-page-111</t>
  </si>
  <si>
    <t>كتالوج الصحي 9-5-2026-page-112</t>
  </si>
  <si>
    <t>كتالوج الصحي 9-5-2026-page-113</t>
  </si>
  <si>
    <t>كتالوج الصحي 9-5-2026-page-114</t>
  </si>
  <si>
    <t>كتالوج الصحي 9-5-2026-page-115</t>
  </si>
  <si>
    <t>كتالوج الصحي 9-5-2026-page-116</t>
  </si>
  <si>
    <t>كتالوج الصحي 9-5-2026-page-117</t>
  </si>
  <si>
    <t>كتالوج الصحي 9-5-2026-page-118</t>
  </si>
  <si>
    <t>كتالوج الصحي 9-5-2026-page-119</t>
  </si>
  <si>
    <t>كتالوج الصحي 9-5-2026-page-12</t>
  </si>
  <si>
    <t>كتالوج الصحي 9-5-2026-page-120</t>
  </si>
  <si>
    <t>كتالوج الصحي 9-5-2026-page-121</t>
  </si>
  <si>
    <t>كتالوج الصحي 9-5-2026-page-122</t>
  </si>
  <si>
    <t>كتالوج الصحي 9-5-2026-page-123</t>
  </si>
  <si>
    <t>كتالوج الصحي 9-5-2026-page-124</t>
  </si>
  <si>
    <t>كتالوج الصحي 9-5-2026-page-125</t>
  </si>
  <si>
    <t>كتالوج الصحي 9-5-2026-page-126</t>
  </si>
  <si>
    <t>كتالوج الصحي 9-5-2026-page-127</t>
  </si>
  <si>
    <t>كتالوج الصحي 9-5-2026-page-128</t>
  </si>
  <si>
    <t>كتالوج الصحي 9-5-2026-page-129</t>
  </si>
  <si>
    <t>كتالوج الصحي 9-5-2026-page-13</t>
  </si>
  <si>
    <t>كتالوج الصحي 9-5-2026-page-130</t>
  </si>
  <si>
    <t>كتالوج الصحي 9-5-2026-page-131</t>
  </si>
  <si>
    <t>كتالوج الصحي 9-5-2026-page-132</t>
  </si>
  <si>
    <t>كتالوج الصحي 9-5-2026-page-133</t>
  </si>
  <si>
    <t>كتالوج الصحي 9-5-2026-page-134</t>
  </si>
  <si>
    <t>كتالوج الصحي 9-5-2026-page-135</t>
  </si>
  <si>
    <t>كتالوج الصحي 9-5-2026-page-136</t>
  </si>
  <si>
    <t>كتالوج الصحي 9-5-2026-page-137</t>
  </si>
  <si>
    <t>كتالوج الصحي 9-5-2026-page-138</t>
  </si>
  <si>
    <t>كتالوج الصحي 9-5-2026-page-139</t>
  </si>
  <si>
    <t>كتالوج الصحي 9-5-2026-page-14</t>
  </si>
  <si>
    <t>كتالوج الصحي 9-5-2026-page-140</t>
  </si>
  <si>
    <t>كتالوج الصحي 9-5-2026-page-141</t>
  </si>
  <si>
    <t>كتالوج الصحي 9-5-2026-page-142</t>
  </si>
  <si>
    <t>كتالوج الصحي 9-5-2026-page-143</t>
  </si>
  <si>
    <t>كتالوج الصحي 9-5-2026-page-144</t>
  </si>
  <si>
    <t>كتالوج الصحي 9-5-2026-page-145</t>
  </si>
  <si>
    <t>كتالوج الصحي 9-5-2026-page-146</t>
  </si>
  <si>
    <t>كتالوج الصحي 9-5-2026-page-147</t>
  </si>
  <si>
    <t>كتالوج الصحي 9-5-2026-page-148</t>
  </si>
  <si>
    <t>كتالوج الصحي 9-5-2026-page-149</t>
  </si>
  <si>
    <t>كتالوج الصحي 9-5-2026-page-15</t>
  </si>
  <si>
    <t>كتالوج الصحي 9-5-2026-page-150</t>
  </si>
  <si>
    <t>كتالوج الصحي 9-5-2026-page-151</t>
  </si>
  <si>
    <t>كتالوج الصحي 9-5-2026-page-152</t>
  </si>
  <si>
    <t>كتالوج الصحي 9-5-2026-page-153</t>
  </si>
  <si>
    <t>كتالوج الصحي 9-5-2026-page-154</t>
  </si>
  <si>
    <t>كتالوج الصحي 9-5-2026-page-155</t>
  </si>
  <si>
    <t>كتالوج الصحي 9-5-2026-page-156</t>
  </si>
  <si>
    <t>كتالوج الصحي 9-5-2026-page-157</t>
  </si>
  <si>
    <t>كتالوج الصحي 9-5-2026-page-158</t>
  </si>
  <si>
    <t>كتالوج الصحي 9-5-2026-page-159</t>
  </si>
  <si>
    <t>كتالوج الصحي 9-5-2026-page-16</t>
  </si>
  <si>
    <t>كتالوج الصحي 9-5-2026-page-160</t>
  </si>
  <si>
    <t>كتالوج الصحي 9-5-2026-page-161</t>
  </si>
  <si>
    <t>كتالوج الصحي 9-5-2026-page-162</t>
  </si>
  <si>
    <t>كتالوج الصحي 9-5-2026-page-163</t>
  </si>
  <si>
    <t>كتالوج الصحي 9-5-2026-page-164</t>
  </si>
  <si>
    <t>كتالوج الصحي 9-5-2026-page-165</t>
  </si>
  <si>
    <t>كتالوج الصحي 9-5-2026-page-166</t>
  </si>
  <si>
    <t>كتالوج الصحي 9-5-2026-page-167</t>
  </si>
  <si>
    <t>كتالوج الصحي 9-5-2026-page-168</t>
  </si>
  <si>
    <t>كتالوج الصحي 9-5-2026-page-169</t>
  </si>
  <si>
    <t>كتالوج الصحي 9-5-2026-page-17</t>
  </si>
  <si>
    <t>كتالوج الصحي 9-5-2026-page-170</t>
  </si>
  <si>
    <t>كتالوج الصحي 9-5-2026-page-171</t>
  </si>
  <si>
    <t>كتالوج الصحي 9-5-2026-page-18</t>
  </si>
  <si>
    <t>كتالوج الصحي 9-5-2026-page-19</t>
  </si>
  <si>
    <t>كتالوج الصحي 9-5-2026-page-2</t>
  </si>
  <si>
    <t>كتالوج الصحي 9-5-2026-page-20</t>
  </si>
  <si>
    <t>كتالوج الصحي 9-5-2026-page-21</t>
  </si>
  <si>
    <t>كتالوج الصحي 9-5-2026-page-22</t>
  </si>
  <si>
    <t>كتالوج الصحي 9-5-2026-page-23</t>
  </si>
  <si>
    <t>كتالوج الصحي 9-5-2026-page-24</t>
  </si>
  <si>
    <t>كتالوج الصحي 9-5-2026-page-25</t>
  </si>
  <si>
    <t>كتالوج الصحي 9-5-2026-page-26</t>
  </si>
  <si>
    <t>كتالوج الصحي 9-5-2026-page-27</t>
  </si>
  <si>
    <t>كتالوج الصحي 9-5-2026-page-28</t>
  </si>
  <si>
    <t>كتالوج الصحي 9-5-2026-page-29</t>
  </si>
  <si>
    <t>كتالوج الصحي 9-5-2026-page-3</t>
  </si>
  <si>
    <t>كتالوج الصحي 9-5-2026-page-30</t>
  </si>
  <si>
    <t>كتالوج الصحي 9-5-2026-page-31</t>
  </si>
  <si>
    <t>كتالوج الصحي 9-5-2026-page-32</t>
  </si>
  <si>
    <t>كتالوج الصحي 9-5-2026-page-33</t>
  </si>
  <si>
    <t>كتالوج الصحي 9-5-2026-page-34</t>
  </si>
  <si>
    <t>كتالوج الصحي 9-5-2026-page-35</t>
  </si>
  <si>
    <t>كتالوج الصحي 9-5-2026-page-36</t>
  </si>
  <si>
    <t>كتالوج الصحي 9-5-2026-page-37</t>
  </si>
  <si>
    <t>كتالوج الصحي 9-5-2026-page-38</t>
  </si>
  <si>
    <t>كتالوج الصحي 9-5-2026-page-39</t>
  </si>
  <si>
    <t>كتالوج الصحي 9-5-2026-page-4</t>
  </si>
  <si>
    <t>كتالوج الصحي 9-5-2026-page-40</t>
  </si>
  <si>
    <t>كتالوج الصحي 9-5-2026-page-41</t>
  </si>
  <si>
    <t>كتالوج الصحي 9-5-2026-page-42</t>
  </si>
  <si>
    <t>كتالوج الصحي 9-5-2026-page-43</t>
  </si>
  <si>
    <t>كتالوج الصحي 9-5-2026-page-44</t>
  </si>
  <si>
    <t>كتالوج الصحي 9-5-2026-page-45</t>
  </si>
  <si>
    <t>كتالوج الصحي 9-5-2026-page-46</t>
  </si>
  <si>
    <t>كتالوج الصحي 9-5-2026-page-47</t>
  </si>
  <si>
    <t>كتالوج الصحي 9-5-2026-page-48</t>
  </si>
  <si>
    <t>كتالوج الصحي 9-5-2026-page-49</t>
  </si>
  <si>
    <t>كتالوج الصحي 9-5-2026-page-5</t>
  </si>
  <si>
    <t>كتالوج الصحي 9-5-2026-page-50</t>
  </si>
  <si>
    <t>كتالوج الصحي 9-5-2026-page-51</t>
  </si>
  <si>
    <t>كتالوج الصحي 9-5-2026-page-52</t>
  </si>
  <si>
    <t>كتالوج الصحي 9-5-2026-page-53</t>
  </si>
  <si>
    <t>كتالوج الصحي 9-5-2026-page-54</t>
  </si>
  <si>
    <t>كتالوج الصحي 9-5-2026-page-55</t>
  </si>
  <si>
    <t>كتالوج الصحي 9-5-2026-page-56</t>
  </si>
  <si>
    <t>كتالوج الصحي 9-5-2026-page-57</t>
  </si>
  <si>
    <t>كتالوج الصحي 9-5-2026-page-58</t>
  </si>
  <si>
    <t>كتالوج الصحي 9-5-2026-page-59</t>
  </si>
  <si>
    <t>كتالوج الصحي 9-5-2026-page-6</t>
  </si>
  <si>
    <t>كتالوج الصحي 9-5-2026-page-60</t>
  </si>
  <si>
    <t>كتالوج الصحي 9-5-2026-page-61</t>
  </si>
  <si>
    <t>كتالوج الصحي 9-5-2026-page-62</t>
  </si>
  <si>
    <t>كتالوج الصحي 9-5-2026-page-63</t>
  </si>
  <si>
    <t>كتالوج الصحي 9-5-2026-page-64</t>
  </si>
  <si>
    <t>كتالوج الصحي 9-5-2026-page-65</t>
  </si>
  <si>
    <t>كتالوج الصحي 9-5-2026-page-66</t>
  </si>
  <si>
    <t>كتالوج الصحي 9-5-2026-page-67</t>
  </si>
  <si>
    <t>كتالوج الصحي 9-5-2026-page-68</t>
  </si>
  <si>
    <t>كتالوج الصحي 9-5-2026-page-69</t>
  </si>
  <si>
    <t>كتالوج الصحي 9-5-2026-page-7</t>
  </si>
  <si>
    <t>كتالوج الصحي 9-5-2026-page-70</t>
  </si>
  <si>
    <t>كتالوج الصحي 9-5-2026-page-71</t>
  </si>
  <si>
    <t>كتالوج الصحي 9-5-2026-page-72</t>
  </si>
  <si>
    <t>كتالوج الصحي 9-5-2026-page-73</t>
  </si>
  <si>
    <t>كتالوج الصحي 9-5-2026-page-74</t>
  </si>
  <si>
    <t>كتالوج الصحي 9-5-2026-page-75</t>
  </si>
  <si>
    <t>كتالوج الصحي 9-5-2026-page-76</t>
  </si>
  <si>
    <t>كتالوج الصحي 9-5-2026-page-77</t>
  </si>
  <si>
    <t>كتالوج الصحي 9-5-2026-page-78</t>
  </si>
  <si>
    <t>كتالوج الصحي 9-5-2026-page-79</t>
  </si>
  <si>
    <t>كتالوج الصحي 9-5-2026-page-8</t>
  </si>
  <si>
    <t>كتالوج الصحي 9-5-2026-page-80</t>
  </si>
  <si>
    <t>كتالوج الصحي 9-5-2026-page-81</t>
  </si>
  <si>
    <t>كتالوج الصحي 9-5-2026-page-82</t>
  </si>
  <si>
    <t>كتالوج الصحي 9-5-2026-page-83</t>
  </si>
  <si>
    <t>كتالوج الصحي 9-5-2026-page-84</t>
  </si>
  <si>
    <t>كتالوج الصحي 9-5-2026-page-85</t>
  </si>
  <si>
    <t>كتالوج الصحي 9-5-2026-page-86</t>
  </si>
  <si>
    <t>كتالوج الصحي 9-5-2026-page-87</t>
  </si>
  <si>
    <t>كتالوج الصحي 9-5-2026-page-88</t>
  </si>
  <si>
    <t>كتالوج الصحي 9-5-2026-page-89</t>
  </si>
  <si>
    <t>كتالوج الصحي 9-5-2026-page-9</t>
  </si>
  <si>
    <t>كتالوج الصحي 9-5-2026-page-90</t>
  </si>
  <si>
    <t>كتالوج الصحي 9-5-2026-page-91</t>
  </si>
  <si>
    <t>كتالوج الصحي 9-5-2026-page-92</t>
  </si>
  <si>
    <t>كتالوج الصحي 9-5-2026-page-93</t>
  </si>
  <si>
    <t>كتالوج الصحي 9-5-2026-page-94</t>
  </si>
  <si>
    <t>كتالوج الصحي 9-5-2026-page-95</t>
  </si>
  <si>
    <t>كتالوج الصحي 9-5-2026-page-96</t>
  </si>
  <si>
    <t>كتالوج الصحي 9-5-2026-page-97</t>
  </si>
  <si>
    <t>كتالوج الصحي 9-5-2026-page-98</t>
  </si>
  <si>
    <t>كتالوج الصحي 9-5-2026-page-99</t>
  </si>
  <si>
    <t>450 B كف دش لوحده ايمي</t>
  </si>
  <si>
    <t>extracted_zip_2</t>
  </si>
  <si>
    <t>450 C كف دش لوحده ايمي</t>
  </si>
  <si>
    <t>452 B كف دش لوحده ايمي</t>
  </si>
  <si>
    <t>452 C كف دش لوحده ايمي</t>
  </si>
  <si>
    <t>Best Costa ترنش بلاط</t>
  </si>
  <si>
    <t>Best Costa ترنش ستانلس</t>
  </si>
  <si>
    <t>IMG_1080</t>
  </si>
  <si>
    <t>IMG_1421</t>
  </si>
  <si>
    <t>IMG_9769</t>
  </si>
  <si>
    <t>IMG_9773</t>
  </si>
  <si>
    <t>IMG_9791</t>
  </si>
  <si>
    <t>اتوماتيك مضخة كيزر-0١</t>
  </si>
  <si>
    <t>اسطوانة قص جرانيت مفتوح 4 ونص انش</t>
  </si>
  <si>
    <t>اسفين بلاط</t>
  </si>
  <si>
    <t>اوتوماتيك مضخة ذكر شفاف</t>
  </si>
  <si>
    <t>ايزي برس صيني 1</t>
  </si>
  <si>
    <t>صيني</t>
  </si>
  <si>
    <t>ايزي برس صيني 2</t>
  </si>
  <si>
    <t>ايزي برس صيني 3 بار OASIS</t>
  </si>
  <si>
    <t>ايزي برس صيني 3 بار OASIS-</t>
  </si>
  <si>
    <t>برابيش ستانلس فتحة كاملة صيني</t>
  </si>
  <si>
    <t>بربيش اصفر ايطالي</t>
  </si>
  <si>
    <t>إيطالي</t>
  </si>
  <si>
    <t>بربيش بدون كوع صيني</t>
  </si>
  <si>
    <t>بربيش بدون كوع صيني-</t>
  </si>
  <si>
    <t>بربيش بدون كوع صيني2</t>
  </si>
  <si>
    <t>بربيش بطارية 8 ملم × 100 سم</t>
  </si>
  <si>
    <t>بربيش بطارية 10 ملم × 100 سم</t>
  </si>
  <si>
    <t>بربيش بطارية سحب سن خشن 1</t>
  </si>
  <si>
    <t>بربيش بطارية سحب سن ناعم 1</t>
  </si>
  <si>
    <t>بربيش بطارية</t>
  </si>
  <si>
    <t>بربيش بلحة ايطالي Perla</t>
  </si>
  <si>
    <t>بربيش بلحة تركي 150 سم باكيت نهدي</t>
  </si>
  <si>
    <t>تركي</t>
  </si>
  <si>
    <t>بربيش بلحة زنبرك صيني</t>
  </si>
  <si>
    <t>بربيش بلحة كيس 150 سم</t>
  </si>
  <si>
    <t>بربيش بيرت المنيوم ايطالي</t>
  </si>
  <si>
    <t>بربيش بيرت المنيوم ايطالي-</t>
  </si>
  <si>
    <t>بربيش تصريف غسالة 150 سم تركي</t>
  </si>
  <si>
    <t>بربيش تصريف غسالة ايطالي 1</t>
  </si>
  <si>
    <t>بربيش تصريف غسالة عريض</t>
  </si>
  <si>
    <t>بربيش تغذية غسالة تركي</t>
  </si>
  <si>
    <t>بربيش دش بلحة باكيت احمر صيني</t>
  </si>
  <si>
    <t>بربيش ستانلس مجدول</t>
  </si>
  <si>
    <t>بربيش شطاف ابيض صيني</t>
  </si>
  <si>
    <t>بربيش غاز احمر ايطالي</t>
  </si>
  <si>
    <t>بربيش غاز احمر ايطالي-</t>
  </si>
  <si>
    <t>بربيش فتحة كاملة ايطالي</t>
  </si>
  <si>
    <t>بربيش فتحة كاملة صيني</t>
  </si>
  <si>
    <t>بربيش كيزر زنبرك ستانلس</t>
  </si>
  <si>
    <t>بربيش ماء اصفر ايطالي</t>
  </si>
  <si>
    <t>بربيش ماتور بدون كوع ايطالي</t>
  </si>
  <si>
    <t>بربيش مع كوع صيني</t>
  </si>
  <si>
    <t>برواز سكيمر</t>
  </si>
  <si>
    <t>بطارية انكستريه خطين ذهبي</t>
  </si>
  <si>
    <t>بطارية بلدية حائط أيادي تركي</t>
  </si>
  <si>
    <t>بطارية شطاف 10 سم ايمي ايطالي</t>
  </si>
  <si>
    <t>بطارية مجلى ايمي 119 ايطالي</t>
  </si>
  <si>
    <t>بطارية مجلى جير حائط جانبي ايمي ايطالي</t>
  </si>
  <si>
    <t>بطارية مجلى روبز</t>
  </si>
  <si>
    <t>بطارية مجلى كهرباء غز أسود</t>
  </si>
  <si>
    <t>بطارية مجلى كهرباء غز كروم</t>
  </si>
  <si>
    <t>بطارية مجلى متحرك صيني</t>
  </si>
  <si>
    <t>بطارية مغسلة ثابت إيطالي</t>
  </si>
  <si>
    <t>بعبوزة حنفية</t>
  </si>
  <si>
    <t>بكس بيرت</t>
  </si>
  <si>
    <t>بكس بيرت-</t>
  </si>
  <si>
    <t>بكس سوبر ستار -</t>
  </si>
  <si>
    <t>بكس سوبر ستار</t>
  </si>
  <si>
    <t>بكس ليمين lemen صيني</t>
  </si>
  <si>
    <t>بكس ليمين lemen صيني-</t>
  </si>
  <si>
    <t>بكس معزول ايطالي أزرق</t>
  </si>
  <si>
    <t>بكس معزول ايطالي</t>
  </si>
  <si>
    <t>تب عزل أحمر</t>
  </si>
  <si>
    <t>تب عزل سكني</t>
  </si>
  <si>
    <t>تب مكيف ابيض</t>
  </si>
  <si>
    <t>تحويلة بطارية بيديه</t>
  </si>
  <si>
    <t>تحويلة بطارية ليزر شحن</t>
  </si>
  <si>
    <t>تحويلة دش نص بنص بنص ذكر</t>
  </si>
  <si>
    <t>ترنش بلاط تركي</t>
  </si>
  <si>
    <t>ترنش بلاط خفيف</t>
  </si>
  <si>
    <t>ترنش ستانلس خفيف</t>
  </si>
  <si>
    <t>ترنش ستانلس خفيف-</t>
  </si>
  <si>
    <t>ترنش وجه ستانلس تركي 50 سم</t>
  </si>
  <si>
    <t>تفلون الاسد</t>
  </si>
  <si>
    <t>تفلون سائل إيطالي 100 مل</t>
  </si>
  <si>
    <t>تي بوكس</t>
  </si>
  <si>
    <t>تي شد وصل نحاس 16 ملم ايطالي</t>
  </si>
  <si>
    <t>تي كروم نص انش ايطالي</t>
  </si>
  <si>
    <t>تي نحاس نص انش ايطالي-</t>
  </si>
  <si>
    <t>جاكيت السلامة</t>
  </si>
  <si>
    <t>جرن ذهبي</t>
  </si>
  <si>
    <t>جهاز قياس الملوحة TDS</t>
  </si>
  <si>
    <t>حمالة بشكير رباعية ثنائية</t>
  </si>
  <si>
    <t>حمالة بشكير مزدوجة</t>
  </si>
  <si>
    <t>حنفية  3 ارباع نحاس صيني</t>
  </si>
  <si>
    <t>حنفية بلاستيك ملون خفيف</t>
  </si>
  <si>
    <t>حنفية جير فلتر أسود</t>
  </si>
  <si>
    <t>حنفية ستيم ايطالي</t>
  </si>
  <si>
    <t>حنفية كولر سن خارجي</t>
  </si>
  <si>
    <t>رداد 6 انش ايطالي</t>
  </si>
  <si>
    <t>رداد خط نحاس 3 ارباع</t>
  </si>
  <si>
    <t>رداد خط نحاس نص انش</t>
  </si>
  <si>
    <t>رداد خط نحاس</t>
  </si>
  <si>
    <t>رداد كيزر ايطالي</t>
  </si>
  <si>
    <t>رداد كيزر قلب نحاس ايطالي</t>
  </si>
  <si>
    <t>رداد مجاري قلبين  ايطالي ستانلس</t>
  </si>
  <si>
    <t>رديتر بشكير تركي</t>
  </si>
  <si>
    <t>ريكورد ساعة ريدا صيني-0١</t>
  </si>
  <si>
    <t>زاوية حمام ستانلس ثنائية خفيف</t>
  </si>
  <si>
    <t>زرفيل باب مع أيادي LD</t>
  </si>
  <si>
    <t>ساعة حرارة ايطالي</t>
  </si>
  <si>
    <t>ساعة ضغط 6 بار</t>
  </si>
  <si>
    <t>ساعة ضغط 10 بار</t>
  </si>
  <si>
    <t>ساعة ضغط 16 بار</t>
  </si>
  <si>
    <t>ساعة ضغط ايطالي 6 - 10-16 بار لوندا</t>
  </si>
  <si>
    <t>لوندا</t>
  </si>
  <si>
    <t>ساعة ضغط ايطالي 10 بار</t>
  </si>
  <si>
    <t>ساعة ضغط جلسرين 16 بار</t>
  </si>
  <si>
    <t>ساعة غاز اتوماتيك+عادي ايطالي</t>
  </si>
  <si>
    <t>ستاند ثنائي مع حمالة منشفة ستانلس</t>
  </si>
  <si>
    <t>سدادة بلاستيك</t>
  </si>
  <si>
    <t>سدة خزان بلاستيك</t>
  </si>
  <si>
    <t>سدة كب كروم نص انش صيني</t>
  </si>
  <si>
    <t>سدة كب نحاس صيني</t>
  </si>
  <si>
    <t>سدة نحاس صيني</t>
  </si>
  <si>
    <t>سشوار تجفيف شعر أبيض</t>
  </si>
  <si>
    <t>سشوار تجفيف شعر أسود</t>
  </si>
  <si>
    <t>سلندر كمبيوتر نحاس ORBN</t>
  </si>
  <si>
    <t>سلندر كمبيوتر نحاس ثقيل MEGGO</t>
  </si>
  <si>
    <t>سلندر كمبيوتر نحاس مفتاح جلدة MARTECH</t>
  </si>
  <si>
    <t>سيفتي بلف</t>
  </si>
  <si>
    <t>سيفون شور صيني</t>
  </si>
  <si>
    <t>سيفون مجوز صباب ستانلس 3 انش صيني</t>
  </si>
  <si>
    <t>سيفون واي تفليد تركي انش ونص</t>
  </si>
  <si>
    <t>سيفون واي تقليد تركي انش ونص</t>
  </si>
  <si>
    <t>شد وصل 16 ملم دبل</t>
  </si>
  <si>
    <t>شد وصل 25 ب 3 ارباع GF</t>
  </si>
  <si>
    <t>شد وصل جاكوميني 16 ملم</t>
  </si>
  <si>
    <t>شد وصل دبل ايطالي 16 ملم</t>
  </si>
  <si>
    <t>شد وصل سلطة</t>
  </si>
  <si>
    <t>شطاف اسباني راس متحرك</t>
  </si>
  <si>
    <t>khardawat-001_split_0</t>
  </si>
  <si>
    <t>clean_products_v3</t>
  </si>
  <si>
    <t>khardawat-001_split_1</t>
  </si>
  <si>
    <t>khardawat-001_split_2</t>
  </si>
  <si>
    <t>khardawat-002_split_0</t>
  </si>
  <si>
    <t>khardawat-002_split_1</t>
  </si>
  <si>
    <t>khardawat-002_split_2</t>
  </si>
  <si>
    <t>khardawat-003_split_0</t>
  </si>
  <si>
    <t>khardawat-004_split_0</t>
  </si>
  <si>
    <t>khardawat-004_split_1</t>
  </si>
  <si>
    <t>khardawat-004_split_2</t>
  </si>
  <si>
    <t>khardawat-004_split_3</t>
  </si>
  <si>
    <t>khardawat-005_split_0</t>
  </si>
  <si>
    <t>khardawat-006_split_0</t>
  </si>
  <si>
    <t>khardawat-007_split_0</t>
  </si>
  <si>
    <t>khardawat-007_split_1</t>
  </si>
  <si>
    <t>khardawat-008_split_0</t>
  </si>
  <si>
    <t>khardawat-008_split_1</t>
  </si>
  <si>
    <t>khardawat-009_split_0</t>
  </si>
  <si>
    <t>khardawat-009_split_1</t>
  </si>
  <si>
    <t>khardawat-010_split_0</t>
  </si>
  <si>
    <t>khardawat-010_split_1</t>
  </si>
  <si>
    <t>khardawat-011_split_0</t>
  </si>
  <si>
    <t>khardawat-011_split_1</t>
  </si>
  <si>
    <t>khardawat-012_split_0</t>
  </si>
  <si>
    <t>khardawat-013_split_0</t>
  </si>
  <si>
    <t>khardawat-014_split_0</t>
  </si>
  <si>
    <t>khardawat-014_split_1</t>
  </si>
  <si>
    <t>khardawat-015_split_0</t>
  </si>
  <si>
    <t>khardawat-016_split_0</t>
  </si>
  <si>
    <t>khardawat-017_split_0</t>
  </si>
  <si>
    <t>khardawat-017_split_1</t>
  </si>
  <si>
    <t>khardawat-018_split_0</t>
  </si>
  <si>
    <t>khardawat-019_split_0</t>
  </si>
  <si>
    <t>khardawat-020_split_0</t>
  </si>
  <si>
    <t>khardawat-021_split_0</t>
  </si>
  <si>
    <t>khardawat-022_split_0</t>
  </si>
  <si>
    <t>khardawat-022_split_1</t>
  </si>
  <si>
    <t>khardawat-023_split_0</t>
  </si>
  <si>
    <t>khardawat-024_split_0</t>
  </si>
  <si>
    <t>khardawat-025_split_0</t>
  </si>
  <si>
    <t>khardawat-025_split_1</t>
  </si>
  <si>
    <t>khardawat-026_split_0</t>
  </si>
  <si>
    <t>khardawat-027_split_0</t>
  </si>
  <si>
    <t>khardawat-028_split_0</t>
  </si>
  <si>
    <t>khardawat-028_split_1</t>
  </si>
  <si>
    <t>khardawat-029_split_0</t>
  </si>
  <si>
    <t>khardawat-029_split_1</t>
  </si>
  <si>
    <t>khardawat-030_split_0</t>
  </si>
  <si>
    <t>khardawat-031_split_0</t>
  </si>
  <si>
    <t>khardawat-032_split_0</t>
  </si>
  <si>
    <t>khardawat-033_split_0</t>
  </si>
  <si>
    <t>khardawat-034_split_0</t>
  </si>
  <si>
    <t>khardawat-035_split_0</t>
  </si>
  <si>
    <t>khardawat-036_split_0</t>
  </si>
  <si>
    <t>khardawat-037_split_0</t>
  </si>
  <si>
    <t>khardawat-038_split_0</t>
  </si>
  <si>
    <t>khardawat-039_split_0</t>
  </si>
  <si>
    <t>khardawat-039_split_1</t>
  </si>
  <si>
    <t>khardawat-039_split_2</t>
  </si>
  <si>
    <t>khardawat-040_split_0</t>
  </si>
  <si>
    <t>khardawat-040_split_1</t>
  </si>
  <si>
    <t>khardawat-040_split_2</t>
  </si>
  <si>
    <t>khardawat-041_split_0</t>
  </si>
  <si>
    <t>khardawat-042_split_0</t>
  </si>
  <si>
    <t>khardawat-042_split_1</t>
  </si>
  <si>
    <t>khardawat-043_split_0</t>
  </si>
  <si>
    <t>khardawat-044_split_0</t>
  </si>
  <si>
    <t>khardawat-045_split_0</t>
  </si>
  <si>
    <t>khardawat-046_split_0</t>
  </si>
  <si>
    <t>khardawat-047_split_0</t>
  </si>
  <si>
    <t>khardawat-048_split_0</t>
  </si>
  <si>
    <t>khardawat-049_split_0</t>
  </si>
  <si>
    <t>khardawat-050_split_0</t>
  </si>
  <si>
    <t>khardawat-051_split_0</t>
  </si>
  <si>
    <t>khardawat-052_split_0</t>
  </si>
  <si>
    <t>khardawat-053_split_0</t>
  </si>
  <si>
    <t>khardawat-053_split_1</t>
  </si>
  <si>
    <t>khardawat-054_split_0</t>
  </si>
  <si>
    <t>khardawat-055_split_0</t>
  </si>
  <si>
    <t>khardawat-056_split_0</t>
  </si>
  <si>
    <t>khardawat-056_split_1</t>
  </si>
  <si>
    <t>khardawat-057_split_0</t>
  </si>
  <si>
    <t>khardawat-058_split_0</t>
  </si>
  <si>
    <t>khardawat-059_split_0</t>
  </si>
  <si>
    <t>khardawat-059_split_1</t>
  </si>
  <si>
    <t>khardawat-059_split_2</t>
  </si>
  <si>
    <t>khardawat-060_split_0</t>
  </si>
  <si>
    <t>khardawat-061_split_0</t>
  </si>
  <si>
    <t>khardawat-062_split_0</t>
  </si>
  <si>
    <t>khardawat-063_split_0</t>
  </si>
  <si>
    <t>khardawat-063_split_1</t>
  </si>
  <si>
    <t>khardawat-064_split_0</t>
  </si>
  <si>
    <t>khardawat-065_split_0</t>
  </si>
  <si>
    <t>khardawat-065_split_1</t>
  </si>
  <si>
    <t>khardawat-066_split_0</t>
  </si>
  <si>
    <t>khardawat-067_split_0</t>
  </si>
  <si>
    <t>khardawat-068_split_0</t>
  </si>
  <si>
    <t>khardawat-069_split_0</t>
  </si>
  <si>
    <t>khardawat-070_split_0</t>
  </si>
  <si>
    <t>khardawat-071_split_0</t>
  </si>
  <si>
    <t>khardawat-071_split_1</t>
  </si>
  <si>
    <t>khardawat-072_split_0</t>
  </si>
  <si>
    <t>khardawat-072_split_1</t>
  </si>
  <si>
    <t>khardawat-072_split_2</t>
  </si>
  <si>
    <t>khardawat-073_split_0</t>
  </si>
  <si>
    <t>khardawat-074_split_0</t>
  </si>
  <si>
    <t>khardawat-075_split_0</t>
  </si>
  <si>
    <t>khardawat-076_split_0</t>
  </si>
  <si>
    <t>khardawat-077_split_0</t>
  </si>
  <si>
    <t>khardawat-078_split_0</t>
  </si>
  <si>
    <t>khardawat-078_split_1</t>
  </si>
  <si>
    <t>khardawat-078_split_2</t>
  </si>
  <si>
    <t>khardawat-079_split_0</t>
  </si>
  <si>
    <t>khardawat-080_split_0</t>
  </si>
  <si>
    <t>khardawat-080_split_1</t>
  </si>
  <si>
    <t>khardawat-081_split_0</t>
  </si>
  <si>
    <t>khardawat-082_split_0</t>
  </si>
  <si>
    <t>khardawat-082_split_1</t>
  </si>
  <si>
    <t>khardawat-083_split_0</t>
  </si>
  <si>
    <t>khardawat-084_split_0</t>
  </si>
  <si>
    <t>khardawat-084_split_1</t>
  </si>
  <si>
    <t>khardawat-084_split_2</t>
  </si>
  <si>
    <t>khardawat-085_split_0</t>
  </si>
  <si>
    <t>khardawat-086_split_0</t>
  </si>
  <si>
    <t>khardawat-087_split_0</t>
  </si>
  <si>
    <t>khardawat-088_split_0</t>
  </si>
  <si>
    <t>khardawat-089_split_0</t>
  </si>
  <si>
    <t>khardawat-090_split_0</t>
  </si>
  <si>
    <t>khardawat-090_split_1</t>
  </si>
  <si>
    <t>khardawat-091_split_0</t>
  </si>
  <si>
    <t>khardawat-092_split_0</t>
  </si>
  <si>
    <t>khardawat-092_split_1</t>
  </si>
  <si>
    <t>khardawat-093_split_0</t>
  </si>
  <si>
    <t>khardawat-093_split_1</t>
  </si>
  <si>
    <t>khardawat-094_split_0</t>
  </si>
  <si>
    <t>khardawat-095_split_0</t>
  </si>
  <si>
    <t>khardawat-096_split_0</t>
  </si>
  <si>
    <t>khardawat-096_split_1</t>
  </si>
  <si>
    <t>khardawat-097_split_0</t>
  </si>
  <si>
    <t>khardawat-097_split_1</t>
  </si>
  <si>
    <t>khardawat-098_split_0</t>
  </si>
  <si>
    <t>khardawat-099_split_0</t>
  </si>
  <si>
    <t>khardawat-100_split_0</t>
  </si>
  <si>
    <t>khardawat-101_split_0</t>
  </si>
  <si>
    <t>khardawat-102_split_0</t>
  </si>
  <si>
    <t>khardawat-103_split_0</t>
  </si>
  <si>
    <t>khardawat-104_split_0</t>
  </si>
  <si>
    <t>khardawat-104_split_1</t>
  </si>
  <si>
    <t>khardawat-105_split_0</t>
  </si>
  <si>
    <t>khardawat-105_split_1</t>
  </si>
  <si>
    <t>khardawat-106_split_0</t>
  </si>
  <si>
    <t>khardawat-106_split_1</t>
  </si>
  <si>
    <t>khardawat-107_split_0</t>
  </si>
  <si>
    <t>khardawat-107_split_1</t>
  </si>
  <si>
    <t>khardawat-108_split_0</t>
  </si>
  <si>
    <t>khardawat-108_split_1</t>
  </si>
  <si>
    <t>khardawat-109_split_0</t>
  </si>
  <si>
    <t>khardawat-110_split_0</t>
  </si>
  <si>
    <t>khardawat-111_split_0</t>
  </si>
  <si>
    <t>khardawat-112_split_0</t>
  </si>
  <si>
    <t>khardawat-113_split_0</t>
  </si>
  <si>
    <t>khardawat-113_split_1</t>
  </si>
  <si>
    <t>khardawat-114_split_0</t>
  </si>
  <si>
    <t>khardawat-115_split_0</t>
  </si>
  <si>
    <t>khardawat-115_split_1</t>
  </si>
  <si>
    <t>khardawat-116_split_0</t>
  </si>
  <si>
    <t>khardawat-117_split_0</t>
  </si>
  <si>
    <t>khardawat-117_split_1</t>
  </si>
  <si>
    <t>khardawat-118_split_0</t>
  </si>
  <si>
    <t>khardawat-119_split_0</t>
  </si>
  <si>
    <t>khardawat-119_split_1</t>
  </si>
  <si>
    <t>khardawat-120_split_0</t>
  </si>
  <si>
    <t>khardawat-120_split_1</t>
  </si>
  <si>
    <t>khardawat-120_split_2</t>
  </si>
  <si>
    <t>khardawat-121_split_0</t>
  </si>
  <si>
    <t>khardawat-121_split_1</t>
  </si>
  <si>
    <t>khardawat-121_split_2</t>
  </si>
  <si>
    <t>khardawat-122_split_0</t>
  </si>
  <si>
    <t>khardawat-122_split_1</t>
  </si>
  <si>
    <t>khardawat-122_split_2</t>
  </si>
  <si>
    <t>khardawat-123_split_0</t>
  </si>
  <si>
    <t>khardawat-123_split_1</t>
  </si>
  <si>
    <t>khardawat-123_split_2</t>
  </si>
  <si>
    <t>khardawat-124_split_0</t>
  </si>
  <si>
    <t>khardawat-124_split_1</t>
  </si>
  <si>
    <t>khardawat-125_split_0</t>
  </si>
  <si>
    <t>khardawat-125_split_1</t>
  </si>
  <si>
    <t>khardawat-125_split_2</t>
  </si>
  <si>
    <t>khardawat-126_split_0</t>
  </si>
  <si>
    <t>khardawat-126_split_1</t>
  </si>
  <si>
    <t>khardawat-126_split_2</t>
  </si>
  <si>
    <t>khardawat-127_split_0</t>
  </si>
  <si>
    <t>khardawat-127_split_1</t>
  </si>
  <si>
    <t>khardawat-128_split_0</t>
  </si>
  <si>
    <t>khardawat-128_split_1</t>
  </si>
  <si>
    <t>khardawat-129_split_0</t>
  </si>
  <si>
    <t>khardawat-129_split_1</t>
  </si>
  <si>
    <t>khardawat-130_split_0</t>
  </si>
  <si>
    <t>khardawat-131_split_0</t>
  </si>
  <si>
    <t>khardawat-132_split_0</t>
  </si>
  <si>
    <t>khardawat-132_split_1</t>
  </si>
  <si>
    <t>khardawat-132_split_2</t>
  </si>
  <si>
    <t>sehi-001_split_0</t>
  </si>
  <si>
    <t>sehi-001_split_1</t>
  </si>
  <si>
    <t>sehi-002_split_0</t>
  </si>
  <si>
    <t>sehi-002_split_1</t>
  </si>
  <si>
    <t>sehi-003_split_0</t>
  </si>
  <si>
    <t>sehi-003_split_1</t>
  </si>
  <si>
    <t>sehi-004_split_0</t>
  </si>
  <si>
    <t>sehi-004_split_1</t>
  </si>
  <si>
    <t>sehi-005_split_0</t>
  </si>
  <si>
    <t>sehi-006_split_0</t>
  </si>
  <si>
    <t>sehi-007_split_0</t>
  </si>
  <si>
    <t>sehi-007_split_1</t>
  </si>
  <si>
    <t>sehi-008_split_0</t>
  </si>
  <si>
    <t>sehi-008_split_1</t>
  </si>
  <si>
    <t>sehi-009_split_0</t>
  </si>
  <si>
    <t>sehi-009_split_1</t>
  </si>
  <si>
    <t>sehi-010_split_0</t>
  </si>
  <si>
    <t>sehi-010_split_1</t>
  </si>
  <si>
    <t>sehi-011_split_0</t>
  </si>
  <si>
    <t>sehi-012_split_0</t>
  </si>
  <si>
    <t>sehi-012_split_1</t>
  </si>
  <si>
    <t>sehi-013_split_0</t>
  </si>
  <si>
    <t>sehi-013_split_1</t>
  </si>
  <si>
    <t>sehi-014_split_0</t>
  </si>
  <si>
    <t>sehi-015_split_0</t>
  </si>
  <si>
    <t>sehi-016_split_0</t>
  </si>
  <si>
    <t>sehi-017_split_0</t>
  </si>
  <si>
    <t>sehi-017_split_1</t>
  </si>
  <si>
    <t>sehi-018_split_0</t>
  </si>
  <si>
    <t>sehi-018_split_1</t>
  </si>
  <si>
    <t>sehi-019_split_0</t>
  </si>
  <si>
    <t>sehi-020_split_0</t>
  </si>
  <si>
    <t>sehi-021_split_0</t>
  </si>
  <si>
    <t>sehi-022_split_0</t>
  </si>
  <si>
    <t>sehi-023_split_0</t>
  </si>
  <si>
    <t>sehi-024_split_0</t>
  </si>
  <si>
    <t>sehi-025_split_0</t>
  </si>
  <si>
    <t>sehi-026_split_0</t>
  </si>
  <si>
    <t>sehi-027_split_0</t>
  </si>
  <si>
    <t>sehi-028_split_0</t>
  </si>
  <si>
    <t>sehi-029_split_0</t>
  </si>
  <si>
    <t>sehi-029_split_1</t>
  </si>
  <si>
    <t>sehi-030_split_0</t>
  </si>
  <si>
    <t>sehi-030_split_1</t>
  </si>
  <si>
    <t>sehi-031_split_0</t>
  </si>
  <si>
    <t>sehi-031_split_1</t>
  </si>
  <si>
    <t>sehi-032_split_0</t>
  </si>
  <si>
    <t>sehi-032_split_1</t>
  </si>
  <si>
    <t>sehi-032_split_2</t>
  </si>
  <si>
    <t>sehi-033_split_0</t>
  </si>
  <si>
    <t>sehi-034_split_0</t>
  </si>
  <si>
    <t>sehi-035_split_0</t>
  </si>
  <si>
    <t>sehi-035_split_1</t>
  </si>
  <si>
    <t>sehi-036_split_0</t>
  </si>
  <si>
    <t>sehi-036_split_1</t>
  </si>
  <si>
    <t>sehi-037_split_0</t>
  </si>
  <si>
    <t>sehi-038_split_0</t>
  </si>
  <si>
    <t>sehi-038_split_1</t>
  </si>
  <si>
    <t>sehi-038_split_2</t>
  </si>
  <si>
    <t>sehi-039_split_0</t>
  </si>
  <si>
    <t>sehi-039_split_1</t>
  </si>
  <si>
    <t>sehi-039_split_2</t>
  </si>
  <si>
    <t>sehi-040_split_0</t>
  </si>
  <si>
    <t>sehi-041_split_0</t>
  </si>
  <si>
    <t>sehi-042_split_0</t>
  </si>
  <si>
    <t>sehi-042_split_1</t>
  </si>
  <si>
    <t>sehi-042_split_2</t>
  </si>
  <si>
    <t>sehi-043_split_0</t>
  </si>
  <si>
    <t>sehi-044_split_0</t>
  </si>
  <si>
    <t>sehi-045_split_0</t>
  </si>
  <si>
    <t>sehi-046_split_0</t>
  </si>
  <si>
    <t>sehi-047_split_0</t>
  </si>
  <si>
    <t>sehi-048_split_0</t>
  </si>
  <si>
    <t>sehi-049_split_0</t>
  </si>
  <si>
    <t>sehi-050_split_0</t>
  </si>
  <si>
    <t>sehi-051_split_0</t>
  </si>
  <si>
    <t>sehi-052_split_0</t>
  </si>
  <si>
    <t>sehi-053_split_0</t>
  </si>
  <si>
    <t>sehi-053_split_1</t>
  </si>
  <si>
    <t>sehi-054_split_0</t>
  </si>
  <si>
    <t>sehi-055_split_0</t>
  </si>
  <si>
    <t>sehi-055_split_1</t>
  </si>
  <si>
    <t>sehi-055_split_2</t>
  </si>
  <si>
    <t>sehi-056_split_0</t>
  </si>
  <si>
    <t>sehi-056_split_1</t>
  </si>
  <si>
    <t>sehi-057_split_0</t>
  </si>
  <si>
    <t>sehi-057_split_1</t>
  </si>
  <si>
    <t>sehi-057_split_2</t>
  </si>
  <si>
    <t>sehi-058_split_0</t>
  </si>
  <si>
    <t>sehi-058_split_1</t>
  </si>
  <si>
    <t>sehi-058_split_2</t>
  </si>
  <si>
    <t>sehi-058_split_3</t>
  </si>
  <si>
    <t>sehi-059_split_0</t>
  </si>
  <si>
    <t>sehi-060_split_0</t>
  </si>
  <si>
    <t>sehi-061_split_0</t>
  </si>
  <si>
    <t>sehi-063_split_0</t>
  </si>
  <si>
    <t>sehi-064_split_0</t>
  </si>
  <si>
    <t>sehi-065_split_0</t>
  </si>
  <si>
    <t>sehi-066_split_0</t>
  </si>
  <si>
    <t>sehi-067_split_0</t>
  </si>
  <si>
    <t>sehi-068_split_0</t>
  </si>
  <si>
    <t>sehi-069_split_0</t>
  </si>
  <si>
    <t>sehi-070_split_0</t>
  </si>
  <si>
    <t>sehi-071_split_0</t>
  </si>
  <si>
    <t>sehi-072_split_0</t>
  </si>
  <si>
    <t>sehi-073_split_0</t>
  </si>
  <si>
    <t>sehi-074_split_0</t>
  </si>
  <si>
    <t>sehi-075_split_0</t>
  </si>
  <si>
    <t>sehi-076_split_0</t>
  </si>
  <si>
    <t>sehi-076_split_1</t>
  </si>
  <si>
    <t>sehi-077_split_0</t>
  </si>
  <si>
    <t>sehi-078_split_0</t>
  </si>
  <si>
    <t>sehi-079_split_0</t>
  </si>
  <si>
    <t>sehi-080_split_0</t>
  </si>
  <si>
    <t>sehi-081_split_0</t>
  </si>
  <si>
    <t>sehi-082_split_0</t>
  </si>
  <si>
    <t>sehi-083_split_0</t>
  </si>
  <si>
    <t>sehi-084_split_0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</si>
</sst>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88" displayName="Table1" name="Table1" id="1">
  <tableColumns count="4">
    <tableColumn name="الصورة" id="1"/>
    <tableColumn name="اسم المنتج" id="2"/>
    <tableColumn name="البراند" id="3"/>
    <tableColumn name="بلد المنشأ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6.13"/>
    <col customWidth="1" min="3" max="3" width="1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2.5" customHeight="1">
      <c r="A2" s="4" t="str">
        <f>IMAGE("https://lh3.googleusercontent.com/u/0/d/11fpAupSs9U89HaHgFJoemUee7roxxgma")</f>
        <v/>
      </c>
      <c r="B2" s="5" t="s">
        <v>7</v>
      </c>
      <c r="C2" s="6" t="s">
        <v>8</v>
      </c>
      <c r="D2" s="6" t="s">
        <v>8</v>
      </c>
      <c r="E2" s="7"/>
      <c r="F2" s="7" t="s">
        <v>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12.5" customHeight="1">
      <c r="A3" s="4" t="str">
        <f>IMAGE("https://lh3.googleusercontent.com/u/0/d/1x6hHlT_tI_R3nKZIdBpQ1MA7EOUgRusk")</f>
        <v/>
      </c>
      <c r="B3" s="5" t="s">
        <v>10</v>
      </c>
      <c r="C3" s="6" t="s">
        <v>8</v>
      </c>
      <c r="D3" s="6" t="s">
        <v>8</v>
      </c>
      <c r="E3" s="9"/>
      <c r="F3" s="7" t="s">
        <v>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12.5" customHeight="1">
      <c r="A4" s="4" t="str">
        <f>IMAGE("https://lh3.googleusercontent.com/u/0/d/1XVbS8ubUxZS3fx9SqxaM98bg72neWNWK")</f>
        <v/>
      </c>
      <c r="B4" s="5" t="s">
        <v>11</v>
      </c>
      <c r="C4" s="6" t="s">
        <v>8</v>
      </c>
      <c r="D4" s="6" t="s">
        <v>8</v>
      </c>
      <c r="E4" s="9"/>
      <c r="F4" s="7" t="s">
        <v>9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2.5" customHeight="1">
      <c r="A5" s="4" t="str">
        <f>IMAGE("https://lh3.googleusercontent.com/u/0/d/1kcL253BrlwUAUgXMVghsqc8zyRoovk8b")</f>
        <v/>
      </c>
      <c r="B5" s="5" t="s">
        <v>12</v>
      </c>
      <c r="C5" s="6" t="s">
        <v>8</v>
      </c>
      <c r="D5" s="6" t="s">
        <v>8</v>
      </c>
      <c r="E5" s="7"/>
      <c r="F5" s="7" t="s">
        <v>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12.5" customHeight="1">
      <c r="A6" s="4" t="str">
        <f>IMAGE("https://lh3.googleusercontent.com/u/0/d/1bKUSpLZcsH4IKy--F2ucgqGvogcRgxKU")</f>
        <v/>
      </c>
      <c r="B6" s="5" t="s">
        <v>13</v>
      </c>
      <c r="C6" s="6" t="s">
        <v>8</v>
      </c>
      <c r="D6" s="6" t="s">
        <v>8</v>
      </c>
      <c r="E6" s="9"/>
      <c r="F6" s="7" t="s">
        <v>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12.5" customHeight="1">
      <c r="A7" s="4" t="str">
        <f>IMAGE("https://lh3.googleusercontent.com/u/0/d/1NosVkcE3s6QPthyI1LSyc7aGlB9RxrSN")</f>
        <v/>
      </c>
      <c r="B7" s="5" t="s">
        <v>14</v>
      </c>
      <c r="C7" s="6" t="s">
        <v>8</v>
      </c>
      <c r="D7" s="6" t="s">
        <v>8</v>
      </c>
      <c r="E7" s="9"/>
      <c r="F7" s="7" t="s">
        <v>9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12.5" customHeight="1">
      <c r="A8" s="4" t="str">
        <f>IMAGE("https://lh3.googleusercontent.com/u/0/d/1PnMEqdycBYPlx1GKkUwLxFxzdXa43PY8")</f>
        <v/>
      </c>
      <c r="B8" s="5" t="s">
        <v>15</v>
      </c>
      <c r="C8" s="6" t="s">
        <v>8</v>
      </c>
      <c r="D8" s="6" t="s">
        <v>8</v>
      </c>
      <c r="E8" s="9"/>
      <c r="F8" s="7" t="s">
        <v>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12.5" customHeight="1">
      <c r="A9" s="4" t="str">
        <f>IMAGE("https://lh3.googleusercontent.com/u/0/d/1gr-wGB50CHGtoSV9ow6rmVnrTCfJ2LSU")</f>
        <v/>
      </c>
      <c r="B9" s="5" t="s">
        <v>16</v>
      </c>
      <c r="C9" s="6" t="s">
        <v>8</v>
      </c>
      <c r="D9" s="6" t="s">
        <v>8</v>
      </c>
      <c r="E9" s="9"/>
      <c r="F9" s="7" t="s">
        <v>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12.5" customHeight="1">
      <c r="A10" s="4" t="str">
        <f>IMAGE("https://lh3.googleusercontent.com/u/0/d/1pXN2Abyw3FXsHNM41XYnluwbgjaPqQRj")</f>
        <v/>
      </c>
      <c r="B10" s="5" t="s">
        <v>17</v>
      </c>
      <c r="C10" s="6" t="s">
        <v>8</v>
      </c>
      <c r="D10" s="6" t="s">
        <v>8</v>
      </c>
      <c r="E10" s="7"/>
      <c r="F10" s="7" t="s">
        <v>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12.5" customHeight="1">
      <c r="A11" s="4" t="str">
        <f>IMAGE("https://lh3.googleusercontent.com/u/0/d/1_4S4SnEfz6_kjug5nyUr715XGlb_dA_1")</f>
        <v/>
      </c>
      <c r="B11" s="5" t="s">
        <v>18</v>
      </c>
      <c r="C11" s="6" t="s">
        <v>8</v>
      </c>
      <c r="D11" s="6" t="s">
        <v>8</v>
      </c>
      <c r="E11" s="7"/>
      <c r="F11" s="7" t="s">
        <v>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12.5" customHeight="1">
      <c r="A12" s="4" t="str">
        <f>IMAGE("https://lh3.googleusercontent.com/u/0/d/189tfGKIqWYqpDKhV2Orpo8DpreSe5nWx")</f>
        <v/>
      </c>
      <c r="B12" s="5" t="s">
        <v>19</v>
      </c>
      <c r="C12" s="6" t="s">
        <v>8</v>
      </c>
      <c r="D12" s="6" t="s">
        <v>8</v>
      </c>
      <c r="E12" s="9"/>
      <c r="F12" s="7" t="s">
        <v>9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12.5" customHeight="1">
      <c r="A13" s="4" t="str">
        <f>IMAGE("https://lh3.googleusercontent.com/u/0/d/1bW23otxFYaiIQ1MUfPGaGLaL15A9Rl2C")</f>
        <v/>
      </c>
      <c r="B13" s="5" t="s">
        <v>20</v>
      </c>
      <c r="C13" s="6" t="s">
        <v>8</v>
      </c>
      <c r="D13" s="6" t="s">
        <v>8</v>
      </c>
      <c r="E13" s="7"/>
      <c r="F13" s="7" t="s">
        <v>9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12.5" customHeight="1">
      <c r="A14" s="4" t="str">
        <f>IMAGE("https://lh3.googleusercontent.com/u/0/d/1d07XRqOMQhL4ZMbcMu4FFj3Tl2n18Fmn")</f>
        <v/>
      </c>
      <c r="B14" s="5" t="s">
        <v>21</v>
      </c>
      <c r="C14" s="6" t="s">
        <v>8</v>
      </c>
      <c r="D14" s="6" t="s">
        <v>8</v>
      </c>
      <c r="E14" s="7"/>
      <c r="F14" s="7" t="s">
        <v>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12.5" customHeight="1">
      <c r="A15" s="4" t="str">
        <f>IMAGE("https://lh3.googleusercontent.com/u/0/d/19wyO-IW6XcYGgIuygh1xtpwgp_EjQtqw")</f>
        <v/>
      </c>
      <c r="B15" s="5" t="s">
        <v>22</v>
      </c>
      <c r="C15" s="6" t="s">
        <v>8</v>
      </c>
      <c r="D15" s="6" t="s">
        <v>8</v>
      </c>
      <c r="E15" s="9"/>
      <c r="F15" s="7" t="s">
        <v>9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12.5" customHeight="1">
      <c r="A16" s="4" t="str">
        <f>IMAGE("https://lh3.googleusercontent.com/u/0/d/135eFZ5kzuSfPMswWgKZT9cQvQmG-C14G")</f>
        <v/>
      </c>
      <c r="B16" s="5" t="s">
        <v>23</v>
      </c>
      <c r="C16" s="6" t="s">
        <v>8</v>
      </c>
      <c r="D16" s="6" t="s">
        <v>8</v>
      </c>
      <c r="E16" s="9"/>
      <c r="F16" s="7" t="s">
        <v>9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12.5" customHeight="1">
      <c r="A17" s="4" t="str">
        <f>IMAGE("https://lh3.googleusercontent.com/u/0/d/1WTLHay4yZFUH97zGsmuiKY5b05TOoWJ2")</f>
        <v/>
      </c>
      <c r="B17" s="5" t="s">
        <v>24</v>
      </c>
      <c r="C17" s="6" t="s">
        <v>8</v>
      </c>
      <c r="D17" s="6" t="s">
        <v>8</v>
      </c>
      <c r="E17" s="7"/>
      <c r="F17" s="7" t="s">
        <v>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12.5" customHeight="1">
      <c r="A18" s="4" t="str">
        <f>IMAGE("https://lh3.googleusercontent.com/u/0/d/1k4X0i2ZXy2h06nYGCcV3SXA6KccHbnx-")</f>
        <v/>
      </c>
      <c r="B18" s="5" t="s">
        <v>25</v>
      </c>
      <c r="C18" s="6" t="s">
        <v>8</v>
      </c>
      <c r="D18" s="6" t="s">
        <v>8</v>
      </c>
      <c r="E18" s="9"/>
      <c r="F18" s="7" t="s">
        <v>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12.5" customHeight="1">
      <c r="A19" s="4" t="str">
        <f>IMAGE("https://lh3.googleusercontent.com/u/0/d/1CONHquyXB49DnTIVfcsS5ej9LJT4_6_Y")</f>
        <v/>
      </c>
      <c r="B19" s="5" t="s">
        <v>26</v>
      </c>
      <c r="C19" s="6" t="s">
        <v>8</v>
      </c>
      <c r="D19" s="6" t="s">
        <v>8</v>
      </c>
      <c r="E19" s="7"/>
      <c r="F19" s="7" t="s">
        <v>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12.5" customHeight="1">
      <c r="A20" s="4" t="str">
        <f>IMAGE("https://lh3.googleusercontent.com/u/0/d/1p4xEqwo961psLaxjH9gMvI5ucI1A3jBm")</f>
        <v/>
      </c>
      <c r="B20" s="5" t="s">
        <v>27</v>
      </c>
      <c r="C20" s="6" t="s">
        <v>8</v>
      </c>
      <c r="D20" s="6" t="s">
        <v>8</v>
      </c>
      <c r="E20" s="7"/>
      <c r="F20" s="7" t="s">
        <v>9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12.5" customHeight="1">
      <c r="A21" s="4" t="str">
        <f>IMAGE("https://lh3.googleusercontent.com/u/0/d/1qDNqWx45a_HHw_S7WgsrWdGF1tm71t9q")</f>
        <v/>
      </c>
      <c r="B21" s="5" t="s">
        <v>28</v>
      </c>
      <c r="C21" s="6" t="s">
        <v>8</v>
      </c>
      <c r="D21" s="6" t="s">
        <v>8</v>
      </c>
      <c r="E21" s="7"/>
      <c r="F21" s="7" t="s">
        <v>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12.5" customHeight="1">
      <c r="A22" s="4" t="str">
        <f>IMAGE("https://lh3.googleusercontent.com/u/0/d/1DRxLohbK5JyLLs2axDD4GvEcOJLn2f1j")</f>
        <v/>
      </c>
      <c r="B22" s="5" t="s">
        <v>29</v>
      </c>
      <c r="C22" s="6" t="s">
        <v>8</v>
      </c>
      <c r="D22" s="6" t="s">
        <v>8</v>
      </c>
      <c r="E22" s="9"/>
      <c r="F22" s="7" t="s">
        <v>9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12.5" customHeight="1">
      <c r="A23" s="4" t="str">
        <f>IMAGE("https://lh3.googleusercontent.com/u/0/d/1FyK7K3_iPXXaY_Q3r7IEGm0OLloGPfor")</f>
        <v/>
      </c>
      <c r="B23" s="5" t="s">
        <v>30</v>
      </c>
      <c r="C23" s="6" t="s">
        <v>8</v>
      </c>
      <c r="D23" s="6" t="s">
        <v>8</v>
      </c>
      <c r="E23" s="7"/>
      <c r="F23" s="7" t="s">
        <v>9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12.5" customHeight="1">
      <c r="A24" s="4" t="str">
        <f>IMAGE("https://lh3.googleusercontent.com/u/0/d/17oXHrMxLCFk8m47b4sCgDEnqcMJOERAI")</f>
        <v/>
      </c>
      <c r="B24" s="5" t="s">
        <v>31</v>
      </c>
      <c r="C24" s="6" t="s">
        <v>8</v>
      </c>
      <c r="D24" s="6" t="s">
        <v>8</v>
      </c>
      <c r="E24" s="9"/>
      <c r="F24" s="7" t="s">
        <v>9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12.5" customHeight="1">
      <c r="A25" s="4" t="str">
        <f>IMAGE("https://lh3.googleusercontent.com/u/0/d/1y1xRmoviEN6DOje5TN6OQh9hoQ3PXwaD")</f>
        <v/>
      </c>
      <c r="B25" s="5" t="s">
        <v>32</v>
      </c>
      <c r="C25" s="6" t="s">
        <v>8</v>
      </c>
      <c r="D25" s="6" t="s">
        <v>8</v>
      </c>
      <c r="E25" s="9"/>
      <c r="F25" s="7" t="s">
        <v>9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12.5" customHeight="1">
      <c r="A26" s="4" t="str">
        <f>IMAGE("https://lh3.googleusercontent.com/u/0/d/1IGGkVyIJY3UjHd3-4phWTbCDABjPZLGt")</f>
        <v/>
      </c>
      <c r="B26" s="5" t="s">
        <v>33</v>
      </c>
      <c r="C26" s="6" t="s">
        <v>8</v>
      </c>
      <c r="D26" s="6" t="s">
        <v>8</v>
      </c>
      <c r="E26" s="9"/>
      <c r="F26" s="7" t="s">
        <v>9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12.5" customHeight="1">
      <c r="A27" s="4" t="str">
        <f>IMAGE("https://lh3.googleusercontent.com/u/0/d/1Lk-iYfpanxUvw9SywpKmFN1vKSoI3sXx")</f>
        <v/>
      </c>
      <c r="B27" s="5" t="s">
        <v>34</v>
      </c>
      <c r="C27" s="6" t="s">
        <v>8</v>
      </c>
      <c r="D27" s="6" t="s">
        <v>8</v>
      </c>
      <c r="E27" s="9"/>
      <c r="F27" s="7" t="s">
        <v>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12.5" customHeight="1">
      <c r="A28" s="4" t="str">
        <f>IMAGE("https://lh3.googleusercontent.com/u/0/d/1pTwjxhLupXIi0AByGx1SF1KLHACpY4c5")</f>
        <v/>
      </c>
      <c r="B28" s="5" t="s">
        <v>35</v>
      </c>
      <c r="C28" s="6" t="s">
        <v>8</v>
      </c>
      <c r="D28" s="6" t="s">
        <v>8</v>
      </c>
      <c r="E28" s="9"/>
      <c r="F28" s="7" t="s">
        <v>9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12.5" customHeight="1">
      <c r="A29" s="4" t="str">
        <f>IMAGE("https://lh3.googleusercontent.com/u/0/d/18-HXWKP5WyLdVW1O7jKGkrH0n1XJOJZD")</f>
        <v/>
      </c>
      <c r="B29" s="5" t="s">
        <v>36</v>
      </c>
      <c r="C29" s="6" t="s">
        <v>8</v>
      </c>
      <c r="D29" s="6" t="s">
        <v>8</v>
      </c>
      <c r="E29" s="9"/>
      <c r="F29" s="7" t="s">
        <v>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12.5" customHeight="1">
      <c r="A30" s="4" t="str">
        <f>IMAGE("https://lh3.googleusercontent.com/u/0/d/1T_A4jMf7ObA8afTUn6akm4ttZHaijYVP")</f>
        <v/>
      </c>
      <c r="B30" s="5" t="s">
        <v>37</v>
      </c>
      <c r="C30" s="6" t="s">
        <v>8</v>
      </c>
      <c r="D30" s="6" t="s">
        <v>8</v>
      </c>
      <c r="E30" s="9"/>
      <c r="F30" s="7" t="s">
        <v>9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12.5" customHeight="1">
      <c r="A31" s="4" t="str">
        <f>IMAGE("https://lh3.googleusercontent.com/u/0/d/143uLWaoxma2GnSU0BIfNIROQSGpJ8t8P")</f>
        <v/>
      </c>
      <c r="B31" s="5" t="s">
        <v>38</v>
      </c>
      <c r="C31" s="6" t="s">
        <v>8</v>
      </c>
      <c r="D31" s="6" t="s">
        <v>8</v>
      </c>
      <c r="E31" s="9"/>
      <c r="F31" s="7" t="s">
        <v>9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12.5" customHeight="1">
      <c r="A32" s="4" t="str">
        <f>IMAGE("https://lh3.googleusercontent.com/u/0/d/1sIwXRvHPu3ppVzzhhGfU5MHRlkxy6kY7")</f>
        <v/>
      </c>
      <c r="B32" s="5" t="s">
        <v>39</v>
      </c>
      <c r="C32" s="6" t="s">
        <v>8</v>
      </c>
      <c r="D32" s="6" t="s">
        <v>8</v>
      </c>
      <c r="E32" s="7"/>
      <c r="F32" s="7" t="s">
        <v>9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12.5" customHeight="1">
      <c r="A33" s="4" t="str">
        <f>IMAGE("https://lh3.googleusercontent.com/u/0/d/1ZgfJ7TKSTBJwVvhQwjyHa1_eQZXYzQUb")</f>
        <v/>
      </c>
      <c r="B33" s="5" t="s">
        <v>40</v>
      </c>
      <c r="C33" s="6" t="s">
        <v>8</v>
      </c>
      <c r="D33" s="6" t="s">
        <v>8</v>
      </c>
      <c r="E33" s="9"/>
      <c r="F33" s="7" t="s">
        <v>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12.5" customHeight="1">
      <c r="A34" s="4" t="str">
        <f>IMAGE("https://lh3.googleusercontent.com/u/0/d/1rmO5lyW-BhaEkXM5ruRfCKqqdzDv01zW")</f>
        <v/>
      </c>
      <c r="B34" s="5" t="s">
        <v>41</v>
      </c>
      <c r="C34" s="6" t="s">
        <v>8</v>
      </c>
      <c r="D34" s="6" t="s">
        <v>8</v>
      </c>
      <c r="E34" s="7"/>
      <c r="F34" s="7" t="s">
        <v>9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12.5" customHeight="1">
      <c r="A35" s="4" t="str">
        <f>IMAGE("https://lh3.googleusercontent.com/u/0/d/1QJBbMUi5gzhctu1b2YIm6pTeX9jka0ur")</f>
        <v/>
      </c>
      <c r="B35" s="5" t="s">
        <v>42</v>
      </c>
      <c r="C35" s="6" t="s">
        <v>8</v>
      </c>
      <c r="D35" s="6" t="s">
        <v>8</v>
      </c>
      <c r="E35" s="9"/>
      <c r="F35" s="7" t="s">
        <v>9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12.5" customHeight="1">
      <c r="A36" s="4" t="str">
        <f>IMAGE("https://lh3.googleusercontent.com/u/0/d/1VT-z5mlz7Xfw928kowYlOe_8ACeDc6wW")</f>
        <v/>
      </c>
      <c r="B36" s="5" t="s">
        <v>43</v>
      </c>
      <c r="C36" s="6" t="s">
        <v>8</v>
      </c>
      <c r="D36" s="6" t="s">
        <v>8</v>
      </c>
      <c r="E36" s="9"/>
      <c r="F36" s="7" t="s">
        <v>9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12.5" customHeight="1">
      <c r="A37" s="4" t="str">
        <f>IMAGE("https://lh3.googleusercontent.com/u/0/d/1OCs-V_IN03-_bBiQ6m7dBs_74D8EMH1F")</f>
        <v/>
      </c>
      <c r="B37" s="5" t="s">
        <v>44</v>
      </c>
      <c r="C37" s="6" t="s">
        <v>8</v>
      </c>
      <c r="D37" s="6" t="s">
        <v>8</v>
      </c>
      <c r="E37" s="9"/>
      <c r="F37" s="7" t="s">
        <v>9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12.5" customHeight="1">
      <c r="A38" s="4" t="str">
        <f>IMAGE("https://lh3.googleusercontent.com/u/0/d/1Sy5C3If1jxkbJqyeHKs28r_UbBPdo2Nw")</f>
        <v/>
      </c>
      <c r="B38" s="5" t="s">
        <v>45</v>
      </c>
      <c r="C38" s="6" t="s">
        <v>8</v>
      </c>
      <c r="D38" s="6" t="s">
        <v>8</v>
      </c>
      <c r="E38" s="7"/>
      <c r="F38" s="7" t="s">
        <v>9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12.5" customHeight="1">
      <c r="A39" s="4" t="str">
        <f>IMAGE("https://lh3.googleusercontent.com/u/0/d/1QX5awsmjRfXVlanzR88ekTe7TV9EbrJV")</f>
        <v/>
      </c>
      <c r="B39" s="5" t="s">
        <v>46</v>
      </c>
      <c r="C39" s="6" t="s">
        <v>8</v>
      </c>
      <c r="D39" s="6" t="s">
        <v>8</v>
      </c>
      <c r="E39" s="7"/>
      <c r="F39" s="7" t="s">
        <v>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12.5" customHeight="1">
      <c r="A40" s="4" t="str">
        <f>IMAGE("https://lh3.googleusercontent.com/u/0/d/11mt-SekQEYxzVFSV-addokc-fQWRl6ub")</f>
        <v/>
      </c>
      <c r="B40" s="5" t="s">
        <v>47</v>
      </c>
      <c r="C40" s="6" t="s">
        <v>8</v>
      </c>
      <c r="D40" s="6" t="s">
        <v>8</v>
      </c>
      <c r="E40" s="9"/>
      <c r="F40" s="7" t="s">
        <v>9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12.5" customHeight="1">
      <c r="A41" s="4" t="str">
        <f>IMAGE("https://lh3.googleusercontent.com/u/0/d/1Sqv6n5Np-HD2Zrq-MlJt3g5m9-wlP6iE")</f>
        <v/>
      </c>
      <c r="B41" s="5" t="s">
        <v>48</v>
      </c>
      <c r="C41" s="6" t="s">
        <v>8</v>
      </c>
      <c r="D41" s="6" t="s">
        <v>8</v>
      </c>
      <c r="E41" s="9"/>
      <c r="F41" s="7" t="s">
        <v>9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12.5" customHeight="1">
      <c r="A42" s="4" t="str">
        <f>IMAGE("https://lh3.googleusercontent.com/u/0/d/1dZ5qxQqt6cxPokzqE7221Fv0l6KOil61")</f>
        <v/>
      </c>
      <c r="B42" s="5" t="s">
        <v>49</v>
      </c>
      <c r="C42" s="6" t="s">
        <v>8</v>
      </c>
      <c r="D42" s="6" t="s">
        <v>8</v>
      </c>
      <c r="E42" s="7"/>
      <c r="F42" s="7" t="s">
        <v>9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12.5" customHeight="1">
      <c r="A43" s="4" t="str">
        <f>IMAGE("https://lh3.googleusercontent.com/u/0/d/1hWGy4lCgbVtZQhlJmQNp0lz_ygrRcgvD")</f>
        <v/>
      </c>
      <c r="B43" s="5" t="s">
        <v>50</v>
      </c>
      <c r="C43" s="6" t="s">
        <v>8</v>
      </c>
      <c r="D43" s="6" t="s">
        <v>8</v>
      </c>
      <c r="E43" s="9"/>
      <c r="F43" s="7" t="s">
        <v>9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12.5" customHeight="1">
      <c r="A44" s="4" t="str">
        <f>IMAGE("https://lh3.googleusercontent.com/u/0/d/1V6_nKE1ZUTVahFGtPuTwfgMvBNljWCby")</f>
        <v/>
      </c>
      <c r="B44" s="5" t="s">
        <v>51</v>
      </c>
      <c r="C44" s="6" t="s">
        <v>8</v>
      </c>
      <c r="D44" s="6" t="s">
        <v>8</v>
      </c>
      <c r="E44" s="9"/>
      <c r="F44" s="7" t="s">
        <v>9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12.5" customHeight="1">
      <c r="A45" s="4" t="str">
        <f>IMAGE("https://lh3.googleusercontent.com/u/0/d/1OU8Af5yQgI9Mk_4J0_tokg4m_KirawKg")</f>
        <v/>
      </c>
      <c r="B45" s="5" t="s">
        <v>52</v>
      </c>
      <c r="C45" s="6" t="s">
        <v>8</v>
      </c>
      <c r="D45" s="6" t="s">
        <v>8</v>
      </c>
      <c r="E45" s="9"/>
      <c r="F45" s="7" t="s">
        <v>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12.5" customHeight="1">
      <c r="A46" s="4" t="str">
        <f>IMAGE("https://lh3.googleusercontent.com/u/0/d/1IRNlZuacfxaBsuqZ7fpVJRqAjA1TGLud")</f>
        <v/>
      </c>
      <c r="B46" s="5" t="s">
        <v>53</v>
      </c>
      <c r="C46" s="6" t="s">
        <v>8</v>
      </c>
      <c r="D46" s="6" t="s">
        <v>8</v>
      </c>
      <c r="E46" s="7"/>
      <c r="F46" s="7" t="s">
        <v>9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12.5" customHeight="1">
      <c r="A47" s="4" t="str">
        <f>IMAGE("https://lh3.googleusercontent.com/u/0/d/1HXIPMgS9diuVbfBG60lOVAT62tuDvhby")</f>
        <v/>
      </c>
      <c r="B47" s="5" t="s">
        <v>54</v>
      </c>
      <c r="C47" s="6" t="s">
        <v>8</v>
      </c>
      <c r="D47" s="6" t="s">
        <v>8</v>
      </c>
      <c r="E47" s="7"/>
      <c r="F47" s="7" t="s">
        <v>9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12.5" customHeight="1">
      <c r="A48" s="4" t="str">
        <f>IMAGE("https://lh3.googleusercontent.com/u/0/d/1kVgzscWEGiVTTHEkZf-RpZ0zG-541jfA")</f>
        <v/>
      </c>
      <c r="B48" s="5" t="s">
        <v>55</v>
      </c>
      <c r="C48" s="6" t="s">
        <v>8</v>
      </c>
      <c r="D48" s="6" t="s">
        <v>8</v>
      </c>
      <c r="E48" s="9"/>
      <c r="F48" s="7" t="s">
        <v>9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12.5" customHeight="1">
      <c r="A49" s="4" t="str">
        <f>IMAGE("https://lh3.googleusercontent.com/u/0/d/1oxWP7Btom_Byo7XYdinaqKg-P-Sd5lr_")</f>
        <v/>
      </c>
      <c r="B49" s="5" t="s">
        <v>56</v>
      </c>
      <c r="C49" s="6" t="s">
        <v>8</v>
      </c>
      <c r="D49" s="6" t="s">
        <v>8</v>
      </c>
      <c r="E49" s="9"/>
      <c r="F49" s="7" t="s">
        <v>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12.5" customHeight="1">
      <c r="A50" s="4" t="str">
        <f>IMAGE("https://lh3.googleusercontent.com/u/0/d/18ewPktEnonF6E-ECod2eJGFexp1NkjhG")</f>
        <v/>
      </c>
      <c r="B50" s="5" t="s">
        <v>57</v>
      </c>
      <c r="C50" s="6" t="s">
        <v>8</v>
      </c>
      <c r="D50" s="6" t="s">
        <v>8</v>
      </c>
      <c r="E50" s="7"/>
      <c r="F50" s="7" t="s">
        <v>9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12.5" customHeight="1">
      <c r="A51" s="4" t="str">
        <f>IMAGE("https://lh3.googleusercontent.com/u/0/d/1zUG-hmiyBalLqepAyVU0jkg8QPHwXLO0")</f>
        <v/>
      </c>
      <c r="B51" s="5" t="s">
        <v>58</v>
      </c>
      <c r="C51" s="6" t="s">
        <v>8</v>
      </c>
      <c r="D51" s="6" t="s">
        <v>8</v>
      </c>
      <c r="E51" s="9"/>
      <c r="F51" s="7" t="s">
        <v>9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12.5" customHeight="1">
      <c r="A52" s="4" t="str">
        <f>IMAGE("https://lh3.googleusercontent.com/u/0/d/1_smlNmjyjCZ8nV72YKSR8vcpNZpTl2AG")</f>
        <v/>
      </c>
      <c r="B52" s="5" t="s">
        <v>59</v>
      </c>
      <c r="C52" s="6" t="s">
        <v>8</v>
      </c>
      <c r="D52" s="6" t="s">
        <v>8</v>
      </c>
      <c r="E52" s="9"/>
      <c r="F52" s="7" t="s">
        <v>9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12.5" customHeight="1">
      <c r="A53" s="4" t="str">
        <f>IMAGE("https://lh3.googleusercontent.com/u/0/d/1lvArJ5Ndfqo63is9isla3uU91JUhRg-g")</f>
        <v/>
      </c>
      <c r="B53" s="5" t="s">
        <v>60</v>
      </c>
      <c r="C53" s="6" t="s">
        <v>8</v>
      </c>
      <c r="D53" s="6" t="s">
        <v>8</v>
      </c>
      <c r="E53" s="9"/>
      <c r="F53" s="7" t="s">
        <v>9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12.5" customHeight="1">
      <c r="A54" s="4" t="str">
        <f>IMAGE("https://lh3.googleusercontent.com/u/0/d/1E5CI_7cEn_pvrBfL2ssAGzP-uDeIEnNF")</f>
        <v/>
      </c>
      <c r="B54" s="5" t="s">
        <v>61</v>
      </c>
      <c r="C54" s="6" t="s">
        <v>8</v>
      </c>
      <c r="D54" s="6" t="s">
        <v>8</v>
      </c>
      <c r="E54" s="9"/>
      <c r="F54" s="7" t="s">
        <v>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12.5" customHeight="1">
      <c r="A55" s="4" t="str">
        <f>IMAGE("https://lh3.googleusercontent.com/u/0/d/1eh1GDOn48umFyCjS6SzAu2pJgqS4uikO")</f>
        <v/>
      </c>
      <c r="B55" s="5" t="s">
        <v>62</v>
      </c>
      <c r="C55" s="6" t="s">
        <v>8</v>
      </c>
      <c r="D55" s="6" t="s">
        <v>8</v>
      </c>
      <c r="E55" s="9"/>
      <c r="F55" s="7" t="s">
        <v>9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12.5" customHeight="1">
      <c r="A56" s="4" t="str">
        <f>IMAGE("https://lh3.googleusercontent.com/u/0/d/1M41L6nBO_zZDmP2T1ECvDNG2CRCI0U4x")</f>
        <v/>
      </c>
      <c r="B56" s="5" t="s">
        <v>63</v>
      </c>
      <c r="C56" s="6" t="s">
        <v>8</v>
      </c>
      <c r="D56" s="6" t="s">
        <v>8</v>
      </c>
      <c r="E56" s="7"/>
      <c r="F56" s="7" t="s">
        <v>9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12.5" customHeight="1">
      <c r="A57" s="4" t="str">
        <f>IMAGE("https://lh3.googleusercontent.com/u/0/d/1Ao8fcEcAlkdF0Xj99w36FJOrCkfJ6hqn")</f>
        <v/>
      </c>
      <c r="B57" s="5" t="s">
        <v>64</v>
      </c>
      <c r="C57" s="6" t="s">
        <v>8</v>
      </c>
      <c r="D57" s="6" t="s">
        <v>8</v>
      </c>
      <c r="E57" s="7"/>
      <c r="F57" s="7" t="s">
        <v>9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12.5" customHeight="1">
      <c r="A58" s="4" t="str">
        <f>IMAGE("https://lh3.googleusercontent.com/u/0/d/108mTyEcyACyTdKwaWwk1_4SQhqmHk4ih")</f>
        <v/>
      </c>
      <c r="B58" s="5" t="s">
        <v>65</v>
      </c>
      <c r="C58" s="6" t="s">
        <v>8</v>
      </c>
      <c r="D58" s="6" t="s">
        <v>8</v>
      </c>
      <c r="E58" s="7"/>
      <c r="F58" s="7" t="s">
        <v>9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12.5" customHeight="1">
      <c r="A59" s="4" t="str">
        <f>IMAGE("https://lh3.googleusercontent.com/u/0/d/1uJavasY7vs3g7LyTE1r04tvNh7gCxcRw")</f>
        <v/>
      </c>
      <c r="B59" s="5" t="s">
        <v>66</v>
      </c>
      <c r="C59" s="6" t="s">
        <v>8</v>
      </c>
      <c r="D59" s="6" t="s">
        <v>8</v>
      </c>
      <c r="E59" s="9"/>
      <c r="F59" s="7" t="s">
        <v>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12.5" customHeight="1">
      <c r="A60" s="4" t="str">
        <f>IMAGE("https://lh3.googleusercontent.com/u/0/d/12mjDgBMeIbUz5JysK72x3nmiAbJK5n7o")</f>
        <v/>
      </c>
      <c r="B60" s="5" t="s">
        <v>67</v>
      </c>
      <c r="C60" s="6" t="s">
        <v>8</v>
      </c>
      <c r="D60" s="6" t="s">
        <v>8</v>
      </c>
      <c r="E60" s="7"/>
      <c r="F60" s="7" t="s">
        <v>9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12.5" customHeight="1">
      <c r="A61" s="4" t="str">
        <f>IMAGE("https://lh3.googleusercontent.com/u/0/d/1OIxkHRxbG4cOZ7cqoojGWOnbmdLu-1aX")</f>
        <v/>
      </c>
      <c r="B61" s="5" t="s">
        <v>68</v>
      </c>
      <c r="C61" s="6" t="s">
        <v>8</v>
      </c>
      <c r="D61" s="6" t="s">
        <v>8</v>
      </c>
      <c r="E61" s="9"/>
      <c r="F61" s="7" t="s">
        <v>9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12.5" customHeight="1">
      <c r="A62" s="4" t="str">
        <f>IMAGE("https://lh3.googleusercontent.com/u/0/d/1hohvLVMmdKPZKgeWbx5gn_e36R2sWtkp")</f>
        <v/>
      </c>
      <c r="B62" s="5" t="s">
        <v>69</v>
      </c>
      <c r="C62" s="6" t="s">
        <v>8</v>
      </c>
      <c r="D62" s="6" t="s">
        <v>8</v>
      </c>
      <c r="E62" s="9"/>
      <c r="F62" s="7" t="s">
        <v>9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12.5" customHeight="1">
      <c r="A63" s="4" t="str">
        <f>IMAGE("https://lh3.googleusercontent.com/u/0/d/1YpWjbDAABOtVkVNLV3qE7BdMzlnodFB8")</f>
        <v/>
      </c>
      <c r="B63" s="5" t="s">
        <v>70</v>
      </c>
      <c r="C63" s="6" t="s">
        <v>8</v>
      </c>
      <c r="D63" s="6" t="s">
        <v>8</v>
      </c>
      <c r="E63" s="9"/>
      <c r="F63" s="7" t="s">
        <v>9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12.5" customHeight="1">
      <c r="A64" s="4" t="str">
        <f>IMAGE("https://lh3.googleusercontent.com/u/0/d/1bTCd5Qk3oydTNpmDmT62BBowHqw7vTgl")</f>
        <v/>
      </c>
      <c r="B64" s="5" t="s">
        <v>71</v>
      </c>
      <c r="C64" s="6" t="s">
        <v>8</v>
      </c>
      <c r="D64" s="6" t="s">
        <v>8</v>
      </c>
      <c r="E64" s="9"/>
      <c r="F64" s="7" t="s">
        <v>9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12.5" customHeight="1">
      <c r="A65" s="4" t="str">
        <f>IMAGE("https://lh3.googleusercontent.com/u/0/d/1nK427XTKOfOw1ItQ3ujOOXUSSbZgCcSs")</f>
        <v/>
      </c>
      <c r="B65" s="5" t="s">
        <v>72</v>
      </c>
      <c r="C65" s="6" t="s">
        <v>8</v>
      </c>
      <c r="D65" s="6" t="s">
        <v>8</v>
      </c>
      <c r="E65" s="9"/>
      <c r="F65" s="7" t="s">
        <v>9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12.5" customHeight="1">
      <c r="A66" s="4" t="str">
        <f>IMAGE("https://lh3.googleusercontent.com/u/0/d/1toj49Ve7D5XffmZ691v1XfVbTks4fIjC")</f>
        <v/>
      </c>
      <c r="B66" s="5" t="s">
        <v>73</v>
      </c>
      <c r="C66" s="6" t="s">
        <v>8</v>
      </c>
      <c r="D66" s="6" t="s">
        <v>8</v>
      </c>
      <c r="E66" s="7"/>
      <c r="F66" s="7" t="s">
        <v>9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12.5" customHeight="1">
      <c r="A67" s="4" t="str">
        <f>IMAGE("https://lh3.googleusercontent.com/u/0/d/169rWIs1kRunUjOWYnz7ncYvq0Wofu6Fv")</f>
        <v/>
      </c>
      <c r="B67" s="5" t="s">
        <v>74</v>
      </c>
      <c r="C67" s="6" t="s">
        <v>8</v>
      </c>
      <c r="D67" s="6" t="s">
        <v>8</v>
      </c>
      <c r="E67" s="9"/>
      <c r="F67" s="7" t="s">
        <v>9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12.5" customHeight="1">
      <c r="A68" s="4" t="str">
        <f>IMAGE("https://lh3.googleusercontent.com/u/0/d/1oxQIgsDMDrTcSBM1Yq7_XV8QJuKQq8Md")</f>
        <v/>
      </c>
      <c r="B68" s="5" t="s">
        <v>75</v>
      </c>
      <c r="C68" s="6" t="s">
        <v>8</v>
      </c>
      <c r="D68" s="6" t="s">
        <v>8</v>
      </c>
      <c r="E68" s="9"/>
      <c r="F68" s="7" t="s">
        <v>9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12.5" customHeight="1">
      <c r="A69" s="4" t="str">
        <f>IMAGE("https://lh3.googleusercontent.com/u/0/d/1r7SW1T4QQXIaTU9pyZu9HxOkN2Sb4dyj")</f>
        <v/>
      </c>
      <c r="B69" s="5" t="s">
        <v>76</v>
      </c>
      <c r="C69" s="6" t="s">
        <v>8</v>
      </c>
      <c r="D69" s="6" t="s">
        <v>8</v>
      </c>
      <c r="E69" s="7"/>
      <c r="F69" s="7" t="s">
        <v>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12.5" customHeight="1">
      <c r="A70" s="4" t="str">
        <f>IMAGE("https://lh3.googleusercontent.com/u/0/d/13yDTv98bbesomueLBAQaJ8CmQFCB_GvX")</f>
        <v/>
      </c>
      <c r="B70" s="5" t="s">
        <v>77</v>
      </c>
      <c r="C70" s="6" t="s">
        <v>8</v>
      </c>
      <c r="D70" s="6" t="s">
        <v>8</v>
      </c>
      <c r="E70" s="9"/>
      <c r="F70" s="7" t="s">
        <v>9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12.5" customHeight="1">
      <c r="A71" s="4" t="str">
        <f>IMAGE("https://lh3.googleusercontent.com/u/0/d/1psJv4RwfEPpR7fspDf0Bc4v_oH5NPmML")</f>
        <v/>
      </c>
      <c r="B71" s="5" t="s">
        <v>78</v>
      </c>
      <c r="C71" s="6" t="s">
        <v>8</v>
      </c>
      <c r="D71" s="6" t="s">
        <v>8</v>
      </c>
      <c r="E71" s="7"/>
      <c r="F71" s="7" t="s">
        <v>9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12.5" customHeight="1">
      <c r="A72" s="4" t="str">
        <f>IMAGE("https://lh3.googleusercontent.com/u/0/d/1YJIsPW46GE1Ayh9JaBxeRozkML1SbuIa")</f>
        <v/>
      </c>
      <c r="B72" s="5" t="s">
        <v>79</v>
      </c>
      <c r="C72" s="6" t="s">
        <v>8</v>
      </c>
      <c r="D72" s="6" t="s">
        <v>8</v>
      </c>
      <c r="E72" s="7"/>
      <c r="F72" s="7" t="s">
        <v>9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12.5" customHeight="1">
      <c r="A73" s="4" t="str">
        <f>IMAGE("https://lh3.googleusercontent.com/u/0/d/10MzQOTQTE9EnmOtb0uQ54dgVW-3gxgGH")</f>
        <v/>
      </c>
      <c r="B73" s="5" t="s">
        <v>80</v>
      </c>
      <c r="C73" s="6" t="s">
        <v>8</v>
      </c>
      <c r="D73" s="6" t="s">
        <v>8</v>
      </c>
      <c r="E73" s="9"/>
      <c r="F73" s="7" t="s">
        <v>9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12.5" customHeight="1">
      <c r="A74" s="4" t="str">
        <f>IMAGE("https://lh3.googleusercontent.com/u/0/d/1-E-YKL7hlAqK_JWgrNVzwdn3GuOjbwvz")</f>
        <v/>
      </c>
      <c r="B74" s="5" t="s">
        <v>81</v>
      </c>
      <c r="C74" s="6" t="s">
        <v>8</v>
      </c>
      <c r="D74" s="6" t="s">
        <v>8</v>
      </c>
      <c r="E74" s="9"/>
      <c r="F74" s="7" t="s">
        <v>9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12.5" customHeight="1">
      <c r="A75" s="4" t="str">
        <f>IMAGE("https://lh3.googleusercontent.com/u/0/d/1eimVGeFfZEqO2XT8KADskAdagIINhUZN")</f>
        <v/>
      </c>
      <c r="B75" s="5" t="s">
        <v>82</v>
      </c>
      <c r="C75" s="6" t="s">
        <v>8</v>
      </c>
      <c r="D75" s="6" t="s">
        <v>8</v>
      </c>
      <c r="E75" s="9"/>
      <c r="F75" s="7" t="s">
        <v>9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12.5" customHeight="1">
      <c r="A76" s="4" t="str">
        <f>IMAGE("https://lh3.googleusercontent.com/u/0/d/1DtCJrQQEF-oJ4PHcIm4B4rSlKifxXG8B")</f>
        <v/>
      </c>
      <c r="B76" s="5" t="s">
        <v>83</v>
      </c>
      <c r="C76" s="6" t="s">
        <v>8</v>
      </c>
      <c r="D76" s="6" t="s">
        <v>8</v>
      </c>
      <c r="E76" s="9"/>
      <c r="F76" s="7" t="s">
        <v>9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12.5" customHeight="1">
      <c r="A77" s="4" t="str">
        <f>IMAGE("https://lh3.googleusercontent.com/u/0/d/1X9K0mgWiHscnVne_QK8xkGd47fFeZqnx")</f>
        <v/>
      </c>
      <c r="B77" s="5" t="s">
        <v>84</v>
      </c>
      <c r="C77" s="6" t="s">
        <v>8</v>
      </c>
      <c r="D77" s="6" t="s">
        <v>8</v>
      </c>
      <c r="E77" s="9"/>
      <c r="F77" s="7" t="s">
        <v>9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12.5" customHeight="1">
      <c r="A78" s="4" t="str">
        <f>IMAGE("https://lh3.googleusercontent.com/u/0/d/1hGS1_BquBXb589exWOtSba4ZfpD5rTfh")</f>
        <v/>
      </c>
      <c r="B78" s="5" t="s">
        <v>85</v>
      </c>
      <c r="C78" s="6" t="s">
        <v>8</v>
      </c>
      <c r="D78" s="6" t="s">
        <v>8</v>
      </c>
      <c r="E78" s="7"/>
      <c r="F78" s="7" t="s">
        <v>9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12.5" customHeight="1">
      <c r="A79" s="4" t="str">
        <f>IMAGE("https://lh3.googleusercontent.com/u/0/d/1OuTUNO-jDQu9PaShTNtSJQ20KC3GO8da")</f>
        <v/>
      </c>
      <c r="B79" s="5" t="s">
        <v>86</v>
      </c>
      <c r="C79" s="6" t="s">
        <v>8</v>
      </c>
      <c r="D79" s="6" t="s">
        <v>8</v>
      </c>
      <c r="E79" s="7"/>
      <c r="F79" s="7" t="s">
        <v>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12.5" customHeight="1">
      <c r="A80" s="4" t="str">
        <f>IMAGE("https://lh3.googleusercontent.com/u/0/d/1Lnm8f9qman7uBIhVWzkevCF7-17hAQ9j")</f>
        <v/>
      </c>
      <c r="B80" s="5" t="s">
        <v>87</v>
      </c>
      <c r="C80" s="6" t="s">
        <v>8</v>
      </c>
      <c r="D80" s="6" t="s">
        <v>8</v>
      </c>
      <c r="E80" s="9"/>
      <c r="F80" s="7" t="s">
        <v>9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12.5" customHeight="1">
      <c r="A81" s="4" t="str">
        <f>IMAGE("https://lh3.googleusercontent.com/u/0/d/1-jk27kYRNnnRFNDOifCOmSvKIqenM_k4")</f>
        <v/>
      </c>
      <c r="B81" s="5" t="s">
        <v>88</v>
      </c>
      <c r="C81" s="6" t="s">
        <v>8</v>
      </c>
      <c r="D81" s="6" t="s">
        <v>8</v>
      </c>
      <c r="E81" s="7"/>
      <c r="F81" s="7" t="s">
        <v>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12.5" customHeight="1">
      <c r="A82" s="4" t="str">
        <f>IMAGE("https://lh3.googleusercontent.com/u/0/d/1WbHhjvpNHYgdg8SpgWLaB9hoD7jhHEkl")</f>
        <v/>
      </c>
      <c r="B82" s="5" t="s">
        <v>89</v>
      </c>
      <c r="C82" s="6" t="s">
        <v>8</v>
      </c>
      <c r="D82" s="6" t="s">
        <v>8</v>
      </c>
      <c r="E82" s="9"/>
      <c r="F82" s="7" t="s">
        <v>9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12.5" customHeight="1">
      <c r="A83" s="4" t="str">
        <f>IMAGE("https://lh3.googleusercontent.com/u/0/d/1a8YZqm0c_gQ8QQvAFs1acPy-jiMIt4uk")</f>
        <v/>
      </c>
      <c r="B83" s="5" t="s">
        <v>90</v>
      </c>
      <c r="C83" s="6" t="s">
        <v>8</v>
      </c>
      <c r="D83" s="6" t="s">
        <v>8</v>
      </c>
      <c r="E83" s="7"/>
      <c r="F83" s="7" t="s">
        <v>9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12.5" customHeight="1">
      <c r="A84" s="4" t="str">
        <f>IMAGE("https://lh3.googleusercontent.com/u/0/d/1z47mj7bTWoqoxWKOOWGnUmou2wqVSV_I")</f>
        <v/>
      </c>
      <c r="B84" s="5" t="s">
        <v>91</v>
      </c>
      <c r="C84" s="6" t="s">
        <v>8</v>
      </c>
      <c r="D84" s="6" t="s">
        <v>8</v>
      </c>
      <c r="E84" s="7"/>
      <c r="F84" s="7" t="s">
        <v>9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12.5" customHeight="1">
      <c r="A85" s="4" t="str">
        <f>IMAGE("https://lh3.googleusercontent.com/u/0/d/1tp3NNF1gsLVnPGerkTxOjNLq8TrA7EZb")</f>
        <v/>
      </c>
      <c r="B85" s="5" t="s">
        <v>92</v>
      </c>
      <c r="C85" s="6" t="s">
        <v>8</v>
      </c>
      <c r="D85" s="6" t="s">
        <v>8</v>
      </c>
      <c r="E85" s="9"/>
      <c r="F85" s="7" t="s">
        <v>9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12.5" customHeight="1">
      <c r="A86" s="4" t="str">
        <f>IMAGE("https://lh3.googleusercontent.com/u/0/d/1rjRhnR9lhF4jVQkNtMiuSe-LAuWYw2lI")</f>
        <v/>
      </c>
      <c r="B86" s="5" t="s">
        <v>93</v>
      </c>
      <c r="C86" s="6" t="s">
        <v>8</v>
      </c>
      <c r="D86" s="6" t="s">
        <v>8</v>
      </c>
      <c r="E86" s="9"/>
      <c r="F86" s="7" t="s">
        <v>9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12.5" customHeight="1">
      <c r="A87" s="4" t="str">
        <f>IMAGE("https://lh3.googleusercontent.com/u/0/d/1CHoQmVCbzWYXpg4fkhFbrkTvfcHXUlN7")</f>
        <v/>
      </c>
      <c r="B87" s="5" t="s">
        <v>94</v>
      </c>
      <c r="C87" s="6" t="s">
        <v>8</v>
      </c>
      <c r="D87" s="6" t="s">
        <v>8</v>
      </c>
      <c r="E87" s="7"/>
      <c r="F87" s="7" t="s">
        <v>9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12.5" customHeight="1">
      <c r="A88" s="4" t="str">
        <f>IMAGE("https://lh3.googleusercontent.com/u/0/d/1ssTdD0YQJozuOpXW6uQxFOKfQam5k4Vc")</f>
        <v/>
      </c>
      <c r="B88" s="5" t="s">
        <v>95</v>
      </c>
      <c r="C88" s="6" t="s">
        <v>8</v>
      </c>
      <c r="D88" s="6" t="s">
        <v>8</v>
      </c>
      <c r="E88" s="9"/>
      <c r="F88" s="7" t="s">
        <v>9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12.5" customHeight="1">
      <c r="A89" s="4" t="str">
        <f>IMAGE("https://lh3.googleusercontent.com/u/0/d/1AFYfSBF2gwfvcsFTnqYLke7UH4SiQGIY")</f>
        <v/>
      </c>
      <c r="B89" s="5" t="s">
        <v>96</v>
      </c>
      <c r="C89" s="6" t="s">
        <v>8</v>
      </c>
      <c r="D89" s="6" t="s">
        <v>8</v>
      </c>
      <c r="E89" s="9"/>
      <c r="F89" s="7" t="s">
        <v>9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12.5" customHeight="1">
      <c r="A90" s="4" t="str">
        <f>IMAGE("https://lh3.googleusercontent.com/u/0/d/1ZuHpao6JcJss5sunO71SF9g0hsfhAWXG")</f>
        <v/>
      </c>
      <c r="B90" s="5" t="s">
        <v>97</v>
      </c>
      <c r="C90" s="6" t="s">
        <v>8</v>
      </c>
      <c r="D90" s="6" t="s">
        <v>8</v>
      </c>
      <c r="E90" s="7"/>
      <c r="F90" s="7" t="s">
        <v>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12.5" customHeight="1">
      <c r="A91" s="4" t="str">
        <f>IMAGE("https://lh3.googleusercontent.com/u/0/d/1J5LpStT3uS_dKtZbLN4iGdI_PC5a_qlI")</f>
        <v/>
      </c>
      <c r="B91" s="5" t="s">
        <v>98</v>
      </c>
      <c r="C91" s="6" t="s">
        <v>8</v>
      </c>
      <c r="D91" s="6" t="s">
        <v>8</v>
      </c>
      <c r="E91" s="7"/>
      <c r="F91" s="7" t="s">
        <v>9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12.5" customHeight="1">
      <c r="A92" s="4" t="str">
        <f>IMAGE("https://lh3.googleusercontent.com/u/0/d/1_uHrXn7MDtDKoh6d2v2cW2b80429Nz0f")</f>
        <v/>
      </c>
      <c r="B92" s="5" t="s">
        <v>99</v>
      </c>
      <c r="C92" s="6" t="s">
        <v>8</v>
      </c>
      <c r="D92" s="6" t="s">
        <v>8</v>
      </c>
      <c r="E92" s="9"/>
      <c r="F92" s="7" t="s">
        <v>9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12.5" customHeight="1">
      <c r="A93" s="4" t="str">
        <f>IMAGE("https://lh3.googleusercontent.com/u/0/d/1pb-zP7lgsI3LJ9vWTOgActhWKvqaRcZK")</f>
        <v/>
      </c>
      <c r="B93" s="5" t="s">
        <v>100</v>
      </c>
      <c r="C93" s="6" t="s">
        <v>8</v>
      </c>
      <c r="D93" s="6" t="s">
        <v>8</v>
      </c>
      <c r="E93" s="9"/>
      <c r="F93" s="7" t="s">
        <v>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12.5" customHeight="1">
      <c r="A94" s="4" t="str">
        <f>IMAGE("https://lh3.googleusercontent.com/u/0/d/15ma6HsT64D91OfjsX8ON18jw2zAi5JQ5")</f>
        <v/>
      </c>
      <c r="B94" s="5" t="s">
        <v>101</v>
      </c>
      <c r="C94" s="6" t="s">
        <v>8</v>
      </c>
      <c r="D94" s="6" t="s">
        <v>8</v>
      </c>
      <c r="E94" s="9"/>
      <c r="F94" s="7" t="s">
        <v>9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12.5" customHeight="1">
      <c r="A95" s="4" t="str">
        <f>IMAGE("https://lh3.googleusercontent.com/u/0/d/1Lju2cJLjMYYhv-qBuktLnH0x3jMKzlqZ")</f>
        <v/>
      </c>
      <c r="B95" s="5" t="s">
        <v>102</v>
      </c>
      <c r="C95" s="6" t="s">
        <v>8</v>
      </c>
      <c r="D95" s="6" t="s">
        <v>8</v>
      </c>
      <c r="E95" s="7"/>
      <c r="F95" s="7" t="s">
        <v>9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12.5" customHeight="1">
      <c r="A96" s="4" t="str">
        <f>IMAGE("https://lh3.googleusercontent.com/u/0/d/1KjaMs5tTQ4xBmflvshNX5i0P8UK-_9jF")</f>
        <v/>
      </c>
      <c r="B96" s="5" t="s">
        <v>103</v>
      </c>
      <c r="C96" s="6" t="s">
        <v>8</v>
      </c>
      <c r="D96" s="6" t="s">
        <v>8</v>
      </c>
      <c r="E96" s="9"/>
      <c r="F96" s="7" t="s">
        <v>9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12.5" customHeight="1">
      <c r="A97" s="4" t="str">
        <f>IMAGE("https://lh3.googleusercontent.com/u/0/d/1CPFyTkaluVzCbURUjK1XNVz9judB1Q4J")</f>
        <v/>
      </c>
      <c r="B97" s="5" t="s">
        <v>104</v>
      </c>
      <c r="C97" s="6" t="s">
        <v>8</v>
      </c>
      <c r="D97" s="6" t="s">
        <v>8</v>
      </c>
      <c r="E97" s="7"/>
      <c r="F97" s="7" t="s">
        <v>9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12.5" customHeight="1">
      <c r="A98" s="10" t="str">
        <f>IMAGE("https://lh3.googleusercontent.com/u/0/d/18IofK35clI9LUQ5NtnyQnLNGFUv56ELm")</f>
        <v/>
      </c>
      <c r="B98" s="5" t="s">
        <v>105</v>
      </c>
      <c r="C98" s="6" t="s">
        <v>8</v>
      </c>
      <c r="D98" s="6" t="s">
        <v>8</v>
      </c>
      <c r="E98" s="9"/>
      <c r="F98" s="7" t="s">
        <v>9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12.5" customHeight="1">
      <c r="A99" s="10" t="str">
        <f>IMAGE("https://lh3.googleusercontent.com/u/0/d/1NdEfyxDf54fDzsJWBGd22UfVwgPzIbc-")</f>
        <v/>
      </c>
      <c r="B99" s="5" t="s">
        <v>106</v>
      </c>
      <c r="C99" s="6" t="s">
        <v>8</v>
      </c>
      <c r="D99" s="6" t="s">
        <v>8</v>
      </c>
      <c r="E99" s="7"/>
      <c r="F99" s="7" t="s">
        <v>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12.5" customHeight="1">
      <c r="A100" s="10" t="str">
        <f>IMAGE("https://lh3.googleusercontent.com/u/0/d/1WvBXEmVkTp8J10rHvHhS5Vo6L-OKIgbv")</f>
        <v/>
      </c>
      <c r="B100" s="5" t="s">
        <v>107</v>
      </c>
      <c r="C100" s="6" t="s">
        <v>8</v>
      </c>
      <c r="D100" s="6" t="s">
        <v>8</v>
      </c>
      <c r="E100" s="9"/>
      <c r="F100" s="7" t="s">
        <v>9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12.5" customHeight="1">
      <c r="A101" s="10" t="str">
        <f>IMAGE("https://lh3.googleusercontent.com/u/0/d/1lO72M0w7LVPC0jAH2h6f6UHcKKMOT-sM")</f>
        <v/>
      </c>
      <c r="B101" s="5" t="s">
        <v>108</v>
      </c>
      <c r="C101" s="6" t="s">
        <v>8</v>
      </c>
      <c r="D101" s="6" t="s">
        <v>8</v>
      </c>
      <c r="E101" s="9"/>
      <c r="F101" s="7" t="s">
        <v>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12.5" customHeight="1">
      <c r="A102" s="10" t="str">
        <f>IMAGE("https://lh3.googleusercontent.com/u/0/d/1ZHCGJwmQoCKqYUJcnCyMtG1WpXYwCvPI")</f>
        <v/>
      </c>
      <c r="B102" s="5" t="s">
        <v>13</v>
      </c>
      <c r="C102" s="5"/>
      <c r="D102" s="6"/>
      <c r="E102" s="7"/>
      <c r="F102" s="7" t="s">
        <v>9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12.5" customHeight="1">
      <c r="A103" s="10" t="str">
        <f>IMAGE("https://lh3.googleusercontent.com/u/0/d/1p0Bngre29Gjc_7Lng2X1-0P7GkzQXpuC")</f>
        <v/>
      </c>
      <c r="B103" s="5" t="s">
        <v>14</v>
      </c>
      <c r="C103" s="5"/>
      <c r="D103" s="6"/>
      <c r="E103" s="7"/>
      <c r="F103" s="7" t="s">
        <v>9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12.5" customHeight="1">
      <c r="A104" s="10" t="str">
        <f>IMAGE("https://lh3.googleusercontent.com/u/0/d/1r5-nO_YPD-J-YCbxV-6hznxYnXOiBnwi")</f>
        <v/>
      </c>
      <c r="B104" s="5" t="s">
        <v>15</v>
      </c>
      <c r="C104" s="5"/>
      <c r="D104" s="6"/>
      <c r="E104" s="7"/>
      <c r="F104" s="7" t="s">
        <v>9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12.5" customHeight="1">
      <c r="A105" s="10" t="str">
        <f>IMAGE("https://lh3.googleusercontent.com/u/0/d/1rrLRKkezrluZLOMeVrrztjUIt9fD_7GG")</f>
        <v/>
      </c>
      <c r="B105" s="5" t="s">
        <v>16</v>
      </c>
      <c r="C105" s="5"/>
      <c r="D105" s="6"/>
      <c r="E105" s="7"/>
      <c r="F105" s="7" t="s">
        <v>9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12.5" customHeight="1">
      <c r="A106" s="10" t="str">
        <f>IMAGE("https://lh3.googleusercontent.com/u/0/d/1kkS16NEA0TQ5dUKYVc9UHRXCb9MzBcDd")</f>
        <v/>
      </c>
      <c r="B106" s="5" t="s">
        <v>17</v>
      </c>
      <c r="C106" s="5"/>
      <c r="D106" s="6"/>
      <c r="E106" s="7"/>
      <c r="F106" s="7" t="s">
        <v>9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12.5" customHeight="1">
      <c r="A107" s="10" t="str">
        <f>IMAGE("https://lh3.googleusercontent.com/u/0/d/1RMx78crLvNymzL4NMdcV5racW4Ok_FUI")</f>
        <v/>
      </c>
      <c r="B107" s="5" t="s">
        <v>18</v>
      </c>
      <c r="C107" s="5"/>
      <c r="D107" s="6"/>
      <c r="E107" s="7"/>
      <c r="F107" s="7" t="s">
        <v>9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12.5" customHeight="1">
      <c r="A108" s="10" t="str">
        <f>IMAGE("https://lh3.googleusercontent.com/u/0/d/1Up-g7mjfBCI2jznslGqgpYWwpOGw0Ku_")</f>
        <v/>
      </c>
      <c r="B108" s="5" t="s">
        <v>19</v>
      </c>
      <c r="C108" s="5"/>
      <c r="D108" s="6"/>
      <c r="E108" s="7"/>
      <c r="F108" s="7" t="s">
        <v>9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12.5" customHeight="1">
      <c r="A109" s="10" t="str">
        <f>IMAGE("https://lh3.googleusercontent.com/u/0/d/1quXuV_-DEoskB9ECtZZalfMOXBh9Kidy")</f>
        <v/>
      </c>
      <c r="B109" s="5" t="s">
        <v>20</v>
      </c>
      <c r="C109" s="5"/>
      <c r="D109" s="6"/>
      <c r="E109" s="7"/>
      <c r="F109" s="7" t="s">
        <v>9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12.5" customHeight="1">
      <c r="A110" s="10" t="str">
        <f>IMAGE("https://lh3.googleusercontent.com/u/0/d/1vGJhj4ZtDDVhCua3SPK1xD7zj4crKY54")</f>
        <v/>
      </c>
      <c r="B110" s="5" t="s">
        <v>21</v>
      </c>
      <c r="C110" s="5"/>
      <c r="D110" s="6"/>
      <c r="E110" s="7"/>
      <c r="F110" s="7" t="s">
        <v>9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12.5" customHeight="1">
      <c r="A111" s="10" t="str">
        <f>IMAGE("https://lh3.googleusercontent.com/u/0/d/1juYPxD5xDTfnaZnY3NFPrXkmogFd7jCi")</f>
        <v/>
      </c>
      <c r="B111" s="5" t="s">
        <v>22</v>
      </c>
      <c r="C111" s="5"/>
      <c r="D111" s="6"/>
      <c r="E111" s="7"/>
      <c r="F111" s="7" t="s">
        <v>9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12.5" customHeight="1">
      <c r="A112" s="10" t="str">
        <f>IMAGE("https://lh3.googleusercontent.com/u/0/d/1vI-_lMtM3ew0YEvCQfJPiWB-UrPvOZGO")</f>
        <v/>
      </c>
      <c r="B112" s="5" t="s">
        <v>23</v>
      </c>
      <c r="C112" s="5"/>
      <c r="D112" s="6"/>
      <c r="E112" s="7"/>
      <c r="F112" s="7" t="s">
        <v>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12.5" customHeight="1">
      <c r="A113" s="10" t="str">
        <f>IMAGE("https://lh3.googleusercontent.com/u/0/d/1KfDLE1gUYn0DH9x2TTTR_TK1cBlQxMFg")</f>
        <v/>
      </c>
      <c r="B113" s="5" t="s">
        <v>24</v>
      </c>
      <c r="C113" s="5"/>
      <c r="D113" s="6"/>
      <c r="E113" s="7"/>
      <c r="F113" s="7" t="s">
        <v>9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12.5" customHeight="1">
      <c r="A114" s="10" t="str">
        <f>IMAGE("https://lh3.googleusercontent.com/u/0/d/1c2LsZ5xOh1qMw7HrEZ9BReRS4ILbkZ-r")</f>
        <v/>
      </c>
      <c r="B114" s="5" t="s">
        <v>25</v>
      </c>
      <c r="C114" s="5"/>
      <c r="D114" s="6"/>
      <c r="E114" s="7"/>
      <c r="F114" s="7" t="s">
        <v>9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12.5" customHeight="1">
      <c r="A115" s="10" t="str">
        <f>IMAGE("https://lh3.googleusercontent.com/u/0/d/1UW6vwND5bR1XOcSSQqH6Pa2YSDCUJdw9")</f>
        <v/>
      </c>
      <c r="B115" s="5" t="s">
        <v>26</v>
      </c>
      <c r="C115" s="5"/>
      <c r="D115" s="6"/>
      <c r="E115" s="7"/>
      <c r="F115" s="7" t="s">
        <v>9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12.5" customHeight="1">
      <c r="A116" s="10" t="str">
        <f>IMAGE("https://lh3.googleusercontent.com/u/0/d/1yqAygF_a3WEgPECzZbwOJLqGk_b8kaoD")</f>
        <v/>
      </c>
      <c r="B116" s="5" t="s">
        <v>27</v>
      </c>
      <c r="C116" s="5"/>
      <c r="D116" s="6"/>
      <c r="E116" s="7"/>
      <c r="F116" s="7" t="s">
        <v>9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12.5" customHeight="1">
      <c r="A117" s="10" t="str">
        <f>IMAGE("https://lh3.googleusercontent.com/u/0/d/1J_9mXKCtntzAtZlD3wW5XlJRZtv4XXp9")</f>
        <v/>
      </c>
      <c r="B117" s="5" t="s">
        <v>28</v>
      </c>
      <c r="C117" s="5"/>
      <c r="D117" s="6"/>
      <c r="E117" s="7"/>
      <c r="F117" s="7" t="s">
        <v>9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12.5" customHeight="1">
      <c r="A118" s="10" t="str">
        <f>IMAGE("https://lh3.googleusercontent.com/u/0/d/1WEl1KouMH8--m6zkIATeCI1VGdwNGpWc")</f>
        <v/>
      </c>
      <c r="B118" s="5" t="s">
        <v>29</v>
      </c>
      <c r="C118" s="5"/>
      <c r="D118" s="6"/>
      <c r="E118" s="7"/>
      <c r="F118" s="7" t="s">
        <v>9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12.5" customHeight="1">
      <c r="A119" s="10" t="str">
        <f>IMAGE("https://lh3.googleusercontent.com/u/0/d/1Y5jGQZMNcLgauBxxdM7gYseUmr-ixzXN")</f>
        <v/>
      </c>
      <c r="B119" s="5" t="s">
        <v>30</v>
      </c>
      <c r="C119" s="5"/>
      <c r="D119" s="6"/>
      <c r="E119" s="7"/>
      <c r="F119" s="7" t="s">
        <v>9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12.5" customHeight="1">
      <c r="A120" s="10" t="str">
        <f>IMAGE("https://lh3.googleusercontent.com/u/0/d/1SPsp7HGoJa2VadK5-9x1AL6oYzIez9dz")</f>
        <v/>
      </c>
      <c r="B120" s="5" t="s">
        <v>31</v>
      </c>
      <c r="C120" s="5"/>
      <c r="D120" s="6"/>
      <c r="E120" s="7"/>
      <c r="F120" s="7" t="s">
        <v>9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12.5" customHeight="1">
      <c r="A121" s="10" t="str">
        <f>IMAGE("https://lh3.googleusercontent.com/u/0/d/1bpd0brd_H6LZyui7dgZ4i8zOgVORPlY0")</f>
        <v/>
      </c>
      <c r="B121" s="5" t="s">
        <v>32</v>
      </c>
      <c r="C121" s="5"/>
      <c r="D121" s="6"/>
      <c r="E121" s="7"/>
      <c r="F121" s="7" t="s">
        <v>9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12.5" customHeight="1">
      <c r="A122" s="10" t="str">
        <f>IMAGE("https://lh3.googleusercontent.com/u/0/d/1kuEfitm43zrkLdIhtmR1u6KWL6c2JP2c")</f>
        <v/>
      </c>
      <c r="B122" s="5" t="s">
        <v>33</v>
      </c>
      <c r="C122" s="5"/>
      <c r="D122" s="6"/>
      <c r="E122" s="7"/>
      <c r="F122" s="7" t="s">
        <v>9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12.5" customHeight="1">
      <c r="A123" s="10" t="str">
        <f>IMAGE("https://lh3.googleusercontent.com/u/0/d/1UH_iE3jwj6nCJfcMRZ4SXOrA8uXl0NJd")</f>
        <v/>
      </c>
      <c r="B123" s="5" t="s">
        <v>34</v>
      </c>
      <c r="C123" s="5"/>
      <c r="D123" s="6"/>
      <c r="E123" s="7"/>
      <c r="F123" s="7" t="s">
        <v>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12.5" customHeight="1">
      <c r="A124" s="10" t="str">
        <f>IMAGE("https://lh3.googleusercontent.com/u/0/d/14xhDqCgoRhz9QCX8DxuYpoPltSVXwju-")</f>
        <v/>
      </c>
      <c r="B124" s="5" t="s">
        <v>35</v>
      </c>
      <c r="C124" s="5"/>
      <c r="D124" s="6"/>
      <c r="E124" s="7"/>
      <c r="F124" s="7" t="s">
        <v>9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12.5" customHeight="1">
      <c r="A125" s="10" t="str">
        <f>IMAGE("https://lh3.googleusercontent.com/u/0/d/1oF1jiQO8eCHzeU5hgyPKqpoxW_1AUjTM")</f>
        <v/>
      </c>
      <c r="B125" s="5" t="s">
        <v>36</v>
      </c>
      <c r="C125" s="5"/>
      <c r="D125" s="6"/>
      <c r="E125" s="7"/>
      <c r="F125" s="7" t="s">
        <v>9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12.5" customHeight="1">
      <c r="A126" s="10" t="str">
        <f>IMAGE("https://lh3.googleusercontent.com/u/0/d/16olvFxhQDfLXvnu944qOWWW7etZ3RXFL")</f>
        <v/>
      </c>
      <c r="B126" s="5" t="s">
        <v>37</v>
      </c>
      <c r="C126" s="5"/>
      <c r="D126" s="6"/>
      <c r="E126" s="7"/>
      <c r="F126" s="7" t="s">
        <v>9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12.5" customHeight="1">
      <c r="A127" s="10" t="str">
        <f>IMAGE("https://lh3.googleusercontent.com/u/0/d/1M0Yw-NhtmYEZu2KbdhJgvGdNvZqxZ8e0")</f>
        <v/>
      </c>
      <c r="B127" s="5" t="s">
        <v>38</v>
      </c>
      <c r="C127" s="5"/>
      <c r="D127" s="6"/>
      <c r="E127" s="7"/>
      <c r="F127" s="7" t="s">
        <v>9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12.5" customHeight="1">
      <c r="A128" s="10" t="str">
        <f>IMAGE("https://lh3.googleusercontent.com/u/0/d/1JLvMx_1i-NDcfQlHT9J_m8Ds9ikDonkb")</f>
        <v/>
      </c>
      <c r="B128" s="5" t="s">
        <v>39</v>
      </c>
      <c r="C128" s="5"/>
      <c r="D128" s="6"/>
      <c r="E128" s="7"/>
      <c r="F128" s="7" t="s">
        <v>9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12.5" customHeight="1">
      <c r="A129" s="10" t="str">
        <f>IMAGE("https://lh3.googleusercontent.com/u/0/d/17gl8QTTTu3yDCv4JaRfA-hPl1gYrjN57")</f>
        <v/>
      </c>
      <c r="B129" s="5" t="s">
        <v>40</v>
      </c>
      <c r="C129" s="5"/>
      <c r="D129" s="6"/>
      <c r="E129" s="7"/>
      <c r="F129" s="7" t="s">
        <v>9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12.5" customHeight="1">
      <c r="A130" s="10" t="str">
        <f>IMAGE("https://lh3.googleusercontent.com/u/0/d/1AntVai7hPUQEHOvesHZYhWx0vo7obLWp")</f>
        <v/>
      </c>
      <c r="B130" s="5" t="s">
        <v>41</v>
      </c>
      <c r="C130" s="5"/>
      <c r="D130" s="6"/>
      <c r="E130" s="7"/>
      <c r="F130" s="7" t="s">
        <v>9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12.5" customHeight="1">
      <c r="A131" s="10" t="str">
        <f>IMAGE("https://lh3.googleusercontent.com/u/0/d/1Wamh3RLnfHeY_weWJhMlzctxFKcuRz6n")</f>
        <v/>
      </c>
      <c r="B131" s="5" t="s">
        <v>42</v>
      </c>
      <c r="C131" s="5"/>
      <c r="D131" s="6"/>
      <c r="E131" s="7"/>
      <c r="F131" s="7" t="s">
        <v>9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12.5" customHeight="1">
      <c r="A132" s="10" t="str">
        <f>IMAGE("https://lh3.googleusercontent.com/u/0/d/1dccgRARjwZlGAl1VhvCKgO8LWhkP_BjC")</f>
        <v/>
      </c>
      <c r="B132" s="5" t="s">
        <v>43</v>
      </c>
      <c r="C132" s="5"/>
      <c r="D132" s="6"/>
      <c r="E132" s="7"/>
      <c r="F132" s="7" t="s">
        <v>9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12.5" customHeight="1">
      <c r="A133" s="10" t="str">
        <f>IMAGE("https://lh3.googleusercontent.com/u/0/d/1_tl7m-w6KP4ZCcnpq6OX0rGiCDkVXbD6")</f>
        <v/>
      </c>
      <c r="B133" s="5" t="s">
        <v>44</v>
      </c>
      <c r="C133" s="5"/>
      <c r="D133" s="6"/>
      <c r="E133" s="7"/>
      <c r="F133" s="7" t="s">
        <v>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12.5" customHeight="1">
      <c r="A134" s="10" t="str">
        <f>IMAGE("https://lh3.googleusercontent.com/u/0/d/1cn9psL_C7C2uumFA_N1gsYv2TjMD7F-m")</f>
        <v/>
      </c>
      <c r="B134" s="5" t="s">
        <v>45</v>
      </c>
      <c r="C134" s="5"/>
      <c r="D134" s="6"/>
      <c r="E134" s="7"/>
      <c r="F134" s="7" t="s">
        <v>9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12.5" customHeight="1">
      <c r="A135" s="10" t="str">
        <f>IMAGE("https://lh3.googleusercontent.com/u/0/d/1M4pEm8CEuxuoBFFGP1QwS5EBxC3JUstM")</f>
        <v/>
      </c>
      <c r="B135" s="5" t="s">
        <v>46</v>
      </c>
      <c r="C135" s="5"/>
      <c r="D135" s="6"/>
      <c r="E135" s="7"/>
      <c r="F135" s="7" t="s">
        <v>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12.5" customHeight="1">
      <c r="A136" s="10" t="str">
        <f>IMAGE("https://lh3.googleusercontent.com/u/0/d/1VvAaJmsU1NepFYFOTsgyrSFo6oFXWvfY")</f>
        <v/>
      </c>
      <c r="B136" s="5" t="s">
        <v>47</v>
      </c>
      <c r="C136" s="5"/>
      <c r="D136" s="6"/>
      <c r="E136" s="7"/>
      <c r="F136" s="7" t="s">
        <v>9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12.5" customHeight="1">
      <c r="A137" s="10" t="str">
        <f>IMAGE("https://lh3.googleusercontent.com/u/0/d/1J8UTZ2z9lAAjnelViqPiYfGz9100JzVi")</f>
        <v/>
      </c>
      <c r="B137" s="5" t="s">
        <v>48</v>
      </c>
      <c r="C137" s="5"/>
      <c r="D137" s="6"/>
      <c r="E137" s="7"/>
      <c r="F137" s="7" t="s">
        <v>9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12.5" customHeight="1">
      <c r="A138" s="10" t="str">
        <f>IMAGE("https://lh3.googleusercontent.com/u/0/d/1mMEW0XOGpir0sVqR91nd58U_lB1qXg9L")</f>
        <v/>
      </c>
      <c r="B138" s="5" t="s">
        <v>49</v>
      </c>
      <c r="C138" s="5"/>
      <c r="D138" s="6"/>
      <c r="E138" s="7"/>
      <c r="F138" s="7" t="s">
        <v>9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12.5" customHeight="1">
      <c r="A139" s="10" t="str">
        <f>IMAGE("https://lh3.googleusercontent.com/u/0/d/1OkFvB-1fGW1KkHNvXByvrL2gLvd5CnDb")</f>
        <v/>
      </c>
      <c r="B139" s="5" t="s">
        <v>50</v>
      </c>
      <c r="C139" s="5"/>
      <c r="D139" s="6"/>
      <c r="E139" s="7"/>
      <c r="F139" s="7" t="s">
        <v>9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12.5" customHeight="1">
      <c r="A140" s="10" t="str">
        <f>IMAGE("https://lh3.googleusercontent.com/u/0/d/10ybIMIsGhpeDo0RY3InsISlLKdjT8i4T")</f>
        <v/>
      </c>
      <c r="B140" s="5" t="s">
        <v>51</v>
      </c>
      <c r="C140" s="5"/>
      <c r="D140" s="6"/>
      <c r="E140" s="7"/>
      <c r="F140" s="7" t="s">
        <v>9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12.5" customHeight="1">
      <c r="A141" s="10" t="str">
        <f>IMAGE("https://lh3.googleusercontent.com/u/0/d/10kTNPUI71C3CTcFK7GyMLzaclJLIlrA7")</f>
        <v/>
      </c>
      <c r="B141" s="5" t="s">
        <v>52</v>
      </c>
      <c r="C141" s="5"/>
      <c r="D141" s="6"/>
      <c r="E141" s="7"/>
      <c r="F141" s="7" t="s">
        <v>9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12.5" customHeight="1">
      <c r="A142" s="10" t="str">
        <f>IMAGE("https://lh3.googleusercontent.com/u/0/d/1wNr6Iu-z0s3v_9-goeFo4xTKOKUypscF")</f>
        <v/>
      </c>
      <c r="B142" s="5" t="s">
        <v>53</v>
      </c>
      <c r="C142" s="5"/>
      <c r="D142" s="6"/>
      <c r="E142" s="7"/>
      <c r="F142" s="7" t="s">
        <v>9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12.5" customHeight="1">
      <c r="A143" s="10" t="str">
        <f>IMAGE("https://lh3.googleusercontent.com/u/0/d/1w44TSXXyxz5iqc3GB3QSL5ptY2eUcC4N")</f>
        <v/>
      </c>
      <c r="B143" s="5" t="s">
        <v>54</v>
      </c>
      <c r="C143" s="5"/>
      <c r="D143" s="6"/>
      <c r="E143" s="7"/>
      <c r="F143" s="7" t="s">
        <v>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12.5" customHeight="1">
      <c r="A144" s="10" t="str">
        <f>IMAGE("https://lh3.googleusercontent.com/u/0/d/1pTzWkhJ46u5r6sjDMOkLuHuWsy10zK9P")</f>
        <v/>
      </c>
      <c r="B144" s="5" t="s">
        <v>55</v>
      </c>
      <c r="C144" s="5"/>
      <c r="D144" s="6"/>
      <c r="E144" s="7"/>
      <c r="F144" s="7" t="s">
        <v>9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12.5" customHeight="1">
      <c r="A145" s="10" t="str">
        <f>IMAGE("https://lh3.googleusercontent.com/u/0/d/1GEV_UOrPBMCy5p1CYIJzP8OihMLXVUiL")</f>
        <v/>
      </c>
      <c r="B145" s="5" t="s">
        <v>56</v>
      </c>
      <c r="C145" s="5"/>
      <c r="D145" s="6"/>
      <c r="E145" s="7"/>
      <c r="F145" s="7" t="s">
        <v>9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12.5" customHeight="1">
      <c r="A146" s="10" t="str">
        <f>IMAGE("https://lh3.googleusercontent.com/u/0/d/1ok1GpvBCW16vsMXrF5fCLrQxYGMlvWTw")</f>
        <v/>
      </c>
      <c r="B146" s="5" t="s">
        <v>57</v>
      </c>
      <c r="C146" s="5"/>
      <c r="D146" s="6"/>
      <c r="E146" s="7"/>
      <c r="F146" s="7" t="s">
        <v>9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12.5" customHeight="1">
      <c r="A147" s="10" t="str">
        <f>IMAGE("https://lh3.googleusercontent.com/u/0/d/1fXioMsIf5VBg3mYADbcmYZi_baNJFf0e")</f>
        <v/>
      </c>
      <c r="B147" s="5" t="s">
        <v>58</v>
      </c>
      <c r="C147" s="5"/>
      <c r="D147" s="6"/>
      <c r="E147" s="7"/>
      <c r="F147" s="7" t="s">
        <v>9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12.5" customHeight="1">
      <c r="A148" s="10" t="str">
        <f>IMAGE("https://lh3.googleusercontent.com/u/0/d/1V6rS6yYDyjgvHvfcqXV7SJNd51wjNNOg")</f>
        <v/>
      </c>
      <c r="B148" s="5" t="s">
        <v>59</v>
      </c>
      <c r="C148" s="5"/>
      <c r="D148" s="6"/>
      <c r="E148" s="7"/>
      <c r="F148" s="7" t="s">
        <v>9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12.5" customHeight="1">
      <c r="A149" s="10" t="str">
        <f>IMAGE("https://lh3.googleusercontent.com/u/0/d/1c9ozmFUFzZ5kfMj8-BT4CXTfD9UrUZ_v")</f>
        <v/>
      </c>
      <c r="B149" s="5" t="s">
        <v>60</v>
      </c>
      <c r="C149" s="5"/>
      <c r="D149" s="6"/>
      <c r="E149" s="7"/>
      <c r="F149" s="7" t="s">
        <v>9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12.5" customHeight="1">
      <c r="A150" s="10" t="str">
        <f>IMAGE("https://lh3.googleusercontent.com/u/0/d/1bG71TQmYASW9kLmaRjgh5v3mngBsaeLV")</f>
        <v/>
      </c>
      <c r="B150" s="5" t="s">
        <v>61</v>
      </c>
      <c r="C150" s="5"/>
      <c r="D150" s="6"/>
      <c r="E150" s="7"/>
      <c r="F150" s="7" t="s">
        <v>9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12.5" customHeight="1">
      <c r="A151" s="10" t="str">
        <f>IMAGE("https://lh3.googleusercontent.com/u/0/d/1il841j3JG4p5D1-0slnm0HInm7lBQme-")</f>
        <v/>
      </c>
      <c r="B151" s="5" t="s">
        <v>62</v>
      </c>
      <c r="C151" s="5"/>
      <c r="D151" s="6"/>
      <c r="E151" s="7"/>
      <c r="F151" s="7" t="s">
        <v>9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12.5" customHeight="1">
      <c r="A152" s="10" t="str">
        <f>IMAGE("https://lh3.googleusercontent.com/u/0/d/1dElGKtB0-aSneDCv48-JMMw_zPta-_SO")</f>
        <v/>
      </c>
      <c r="B152" s="5" t="s">
        <v>63</v>
      </c>
      <c r="C152" s="5"/>
      <c r="D152" s="6"/>
      <c r="E152" s="7"/>
      <c r="F152" s="7" t="s">
        <v>9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12.5" customHeight="1">
      <c r="A153" s="10" t="str">
        <f>IMAGE("https://lh3.googleusercontent.com/u/0/d/1cNwICrAIGHZDlSU7RYScLSmsg9g5k62v")</f>
        <v/>
      </c>
      <c r="B153" s="5" t="s">
        <v>64</v>
      </c>
      <c r="C153" s="5"/>
      <c r="D153" s="6"/>
      <c r="E153" s="7"/>
      <c r="F153" s="7" t="s">
        <v>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12.5" customHeight="1">
      <c r="A154" s="10" t="str">
        <f>IMAGE("https://lh3.googleusercontent.com/u/0/d/1fbXfzqo-aNg0ObfRvpqzTSC_sIXLasow")</f>
        <v/>
      </c>
      <c r="B154" s="5" t="s">
        <v>65</v>
      </c>
      <c r="C154" s="5"/>
      <c r="D154" s="6"/>
      <c r="E154" s="7"/>
      <c r="F154" s="7" t="s">
        <v>9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12.5" customHeight="1">
      <c r="A155" s="10" t="str">
        <f>IMAGE("https://lh3.googleusercontent.com/u/0/d/1_ktQ6R5hoE0Zznuy7Yylh2BUU1e6ud5T")</f>
        <v/>
      </c>
      <c r="B155" s="5" t="s">
        <v>66</v>
      </c>
      <c r="C155" s="5"/>
      <c r="D155" s="6"/>
      <c r="E155" s="7"/>
      <c r="F155" s="7" t="s">
        <v>9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12.5" customHeight="1">
      <c r="A156" s="10" t="str">
        <f>IMAGE("https://lh3.googleusercontent.com/u/0/d/1wRWalZQzjZ6fwJ2D87Jf3kmngX7qJ0Hx")</f>
        <v/>
      </c>
      <c r="B156" s="5" t="s">
        <v>67</v>
      </c>
      <c r="C156" s="5"/>
      <c r="D156" s="6"/>
      <c r="E156" s="7"/>
      <c r="F156" s="7" t="s">
        <v>9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12.5" customHeight="1">
      <c r="A157" s="10" t="str">
        <f>IMAGE("https://lh3.googleusercontent.com/u/0/d/1rvOqvWXKm9SCWrT_bLygpJgSUuOv2mrb")</f>
        <v/>
      </c>
      <c r="B157" s="5" t="s">
        <v>68</v>
      </c>
      <c r="C157" s="5"/>
      <c r="D157" s="6"/>
      <c r="E157" s="7"/>
      <c r="F157" s="7" t="s">
        <v>9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12.5" customHeight="1">
      <c r="A158" s="10" t="str">
        <f>IMAGE("https://lh3.googleusercontent.com/u/0/d/1peYHvBnA_C5AqfWMEUt0JLrCg74DaU3T")</f>
        <v/>
      </c>
      <c r="B158" s="5" t="s">
        <v>69</v>
      </c>
      <c r="C158" s="5"/>
      <c r="D158" s="6"/>
      <c r="E158" s="7"/>
      <c r="F158" s="7" t="s">
        <v>9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12.5" customHeight="1">
      <c r="A159" s="10" t="str">
        <f>IMAGE("https://lh3.googleusercontent.com/u/0/d/1IVVm7v7vf5LWH3iPMA2TxbyVn3riHLIk")</f>
        <v/>
      </c>
      <c r="B159" s="5" t="s">
        <v>70</v>
      </c>
      <c r="C159" s="5"/>
      <c r="D159" s="6"/>
      <c r="E159" s="7"/>
      <c r="F159" s="7" t="s">
        <v>9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12.5" customHeight="1">
      <c r="A160" s="10" t="str">
        <f>IMAGE("https://lh3.googleusercontent.com/u/0/d/1knb69jAC-_UmjSAJ0ljGlA636Y6GKkpv")</f>
        <v/>
      </c>
      <c r="B160" s="5" t="s">
        <v>71</v>
      </c>
      <c r="C160" s="5"/>
      <c r="D160" s="6"/>
      <c r="E160" s="7"/>
      <c r="F160" s="7" t="s">
        <v>9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12.5" customHeight="1">
      <c r="A161" s="10" t="str">
        <f>IMAGE("https://lh3.googleusercontent.com/u/0/d/1dVchwvI8BJEPfp1mDGPy0xl9yAWUcm_r")</f>
        <v/>
      </c>
      <c r="B161" s="5" t="s">
        <v>72</v>
      </c>
      <c r="C161" s="5"/>
      <c r="D161" s="6"/>
      <c r="E161" s="7"/>
      <c r="F161" s="7" t="s">
        <v>9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12.5" customHeight="1">
      <c r="A162" s="10" t="str">
        <f>IMAGE("https://lh3.googleusercontent.com/u/0/d/1ImRVhxTiVxxlhAxaEA_aZ1XntNZiX8Aw")</f>
        <v/>
      </c>
      <c r="B162" s="5" t="s">
        <v>73</v>
      </c>
      <c r="C162" s="5"/>
      <c r="D162" s="6"/>
      <c r="E162" s="7"/>
      <c r="F162" s="7" t="s">
        <v>9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12.5" customHeight="1">
      <c r="A163" s="10" t="str">
        <f>IMAGE("https://lh3.googleusercontent.com/u/0/d/1iI7-37yESyQoO45pN0fGBuZ1IjQoPQBj")</f>
        <v/>
      </c>
      <c r="B163" s="5" t="s">
        <v>74</v>
      </c>
      <c r="C163" s="5"/>
      <c r="D163" s="6"/>
      <c r="E163" s="7"/>
      <c r="F163" s="7" t="s">
        <v>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12.5" customHeight="1">
      <c r="A164" s="10" t="str">
        <f>IMAGE("https://lh3.googleusercontent.com/u/0/d/1_z2cSqYA-95zuPgNEJBFp8XV3pn8qK25")</f>
        <v/>
      </c>
      <c r="B164" s="5" t="s">
        <v>75</v>
      </c>
      <c r="C164" s="5"/>
      <c r="D164" s="6"/>
      <c r="E164" s="7"/>
      <c r="F164" s="7" t="s">
        <v>9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12.5" customHeight="1">
      <c r="A165" s="10" t="str">
        <f>IMAGE("https://lh3.googleusercontent.com/u/0/d/1WKZsjMLGERBVg85HSjjelZd2wvBAUNdB")</f>
        <v/>
      </c>
      <c r="B165" s="5" t="s">
        <v>76</v>
      </c>
      <c r="C165" s="5"/>
      <c r="D165" s="6"/>
      <c r="E165" s="7"/>
      <c r="F165" s="7" t="s">
        <v>9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12.5" customHeight="1">
      <c r="A166" s="10" t="str">
        <f>IMAGE("https://lh3.googleusercontent.com/u/0/d/1E9-VVVbRUXL-ntGYTFxtDR3Ia9PWdSln")</f>
        <v/>
      </c>
      <c r="B166" s="5" t="s">
        <v>77</v>
      </c>
      <c r="C166" s="5"/>
      <c r="D166" s="6"/>
      <c r="E166" s="7"/>
      <c r="F166" s="7" t="s">
        <v>9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12.5" customHeight="1">
      <c r="A167" s="10" t="str">
        <f>IMAGE("https://lh3.googleusercontent.com/u/0/d/1rIrAHheYx1ts0Qs9UrJheb7s793kbudS")</f>
        <v/>
      </c>
      <c r="B167" s="5" t="s">
        <v>78</v>
      </c>
      <c r="C167" s="5"/>
      <c r="D167" s="6"/>
      <c r="E167" s="7"/>
      <c r="F167" s="7" t="s">
        <v>9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12.5" customHeight="1">
      <c r="A168" s="10" t="str">
        <f>IMAGE("https://lh3.googleusercontent.com/u/0/d/1ApOjukJVdzFwWys6zpTynDSHqfIAp0D2")</f>
        <v/>
      </c>
      <c r="B168" s="5" t="s">
        <v>79</v>
      </c>
      <c r="C168" s="5"/>
      <c r="D168" s="6"/>
      <c r="E168" s="7"/>
      <c r="F168" s="7" t="s">
        <v>9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12.5" customHeight="1">
      <c r="A169" s="10" t="str">
        <f>IMAGE("https://lh3.googleusercontent.com/u/0/d/1O7hR4JQOYn70I9fmwBU2O2QSWEWT8qkz")</f>
        <v/>
      </c>
      <c r="B169" s="5" t="s">
        <v>80</v>
      </c>
      <c r="C169" s="5"/>
      <c r="D169" s="6"/>
      <c r="E169" s="7"/>
      <c r="F169" s="7" t="s">
        <v>9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12.5" customHeight="1">
      <c r="A170" s="10" t="str">
        <f>IMAGE("https://lh3.googleusercontent.com/u/0/d/17hRZfE5RdZRiaCEwXCxb0_idf8jeHW2D")</f>
        <v/>
      </c>
      <c r="B170" s="5" t="s">
        <v>81</v>
      </c>
      <c r="C170" s="5"/>
      <c r="D170" s="6"/>
      <c r="E170" s="7"/>
      <c r="F170" s="7" t="s">
        <v>9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12.5" customHeight="1">
      <c r="A171" s="10" t="str">
        <f>IMAGE("https://lh3.googleusercontent.com/u/0/d/17PTLiR2ScVExIWHSfVif9K_qVw1hkWqO")</f>
        <v/>
      </c>
      <c r="B171" s="5" t="s">
        <v>82</v>
      </c>
      <c r="C171" s="5"/>
      <c r="D171" s="6"/>
      <c r="E171" s="7"/>
      <c r="F171" s="7" t="s">
        <v>9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12.5" customHeight="1">
      <c r="A172" s="10" t="str">
        <f>IMAGE("https://lh3.googleusercontent.com/u/0/d/1qxoATgT9FE0j7jDWunX2U5OlX4eQDl96")</f>
        <v/>
      </c>
      <c r="B172" s="5" t="s">
        <v>83</v>
      </c>
      <c r="C172" s="5"/>
      <c r="D172" s="6"/>
      <c r="E172" s="7"/>
      <c r="F172" s="7" t="s">
        <v>9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12.5" customHeight="1">
      <c r="A173" s="10" t="str">
        <f>IMAGE("https://lh3.googleusercontent.com/u/0/d/1JTLQDOZ_Y2IA_UAPUP0mCaooOHBrOfKK")</f>
        <v/>
      </c>
      <c r="B173" s="5" t="s">
        <v>84</v>
      </c>
      <c r="C173" s="5"/>
      <c r="D173" s="6"/>
      <c r="E173" s="7"/>
      <c r="F173" s="7" t="s">
        <v>9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12.5" customHeight="1">
      <c r="A174" s="10" t="str">
        <f>IMAGE("https://lh3.googleusercontent.com/u/0/d/1LLanyn0CYEfgDs6IXRe9XIbt221Jl1FR")</f>
        <v/>
      </c>
      <c r="B174" s="5" t="s">
        <v>85</v>
      </c>
      <c r="C174" s="5"/>
      <c r="D174" s="6"/>
      <c r="E174" s="7"/>
      <c r="F174" s="7" t="s">
        <v>9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12.5" customHeight="1">
      <c r="A175" s="10" t="str">
        <f>IMAGE("https://lh3.googleusercontent.com/u/0/d/1okXs1rJ7d5fMFAIJMf-b5xXd7C-fICXH")</f>
        <v/>
      </c>
      <c r="B175" s="5" t="s">
        <v>86</v>
      </c>
      <c r="C175" s="5"/>
      <c r="D175" s="6"/>
      <c r="E175" s="7"/>
      <c r="F175" s="7" t="s">
        <v>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12.5" customHeight="1">
      <c r="A176" s="10" t="str">
        <f>IMAGE("https://lh3.googleusercontent.com/u/0/d/1nIbzmDNkcy9IgILyg7P_AOTPkjgUct-I")</f>
        <v/>
      </c>
      <c r="B176" s="5" t="s">
        <v>87</v>
      </c>
      <c r="C176" s="5"/>
      <c r="D176" s="6"/>
      <c r="E176" s="7"/>
      <c r="F176" s="7" t="s">
        <v>9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12.5" customHeight="1">
      <c r="A177" s="10" t="str">
        <f>IMAGE("https://lh3.googleusercontent.com/u/0/d/1yyD4YCqMSC18q-wMs_quOtVcucFt6Ze_")</f>
        <v/>
      </c>
      <c r="B177" s="5" t="s">
        <v>88</v>
      </c>
      <c r="C177" s="5"/>
      <c r="D177" s="6"/>
      <c r="E177" s="7"/>
      <c r="F177" s="7" t="s">
        <v>9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12.5" customHeight="1">
      <c r="A178" s="10" t="str">
        <f>IMAGE("https://lh3.googleusercontent.com/u/0/d/1qf0HJY6doc8mTipXsEEfe6_ehMCv1PCZ")</f>
        <v/>
      </c>
      <c r="B178" s="5" t="s">
        <v>89</v>
      </c>
      <c r="C178" s="5"/>
      <c r="D178" s="6"/>
      <c r="E178" s="7"/>
      <c r="F178" s="7" t="s">
        <v>9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12.5" customHeight="1">
      <c r="A179" s="10" t="str">
        <f>IMAGE("https://lh3.googleusercontent.com/u/0/d/1piOugXBtaGgSFm_FWRqspNlsDFlIOHgU")</f>
        <v/>
      </c>
      <c r="B179" s="5" t="s">
        <v>90</v>
      </c>
      <c r="C179" s="5"/>
      <c r="D179" s="6"/>
      <c r="E179" s="7"/>
      <c r="F179" s="7" t="s">
        <v>9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12.5" customHeight="1">
      <c r="A180" s="10" t="str">
        <f>IMAGE("https://lh3.googleusercontent.com/u/0/d/1CnJTXkcX12v6AxH--HdrE-KChrjfI1H-")</f>
        <v/>
      </c>
      <c r="B180" s="5" t="s">
        <v>91</v>
      </c>
      <c r="C180" s="5"/>
      <c r="D180" s="6"/>
      <c r="E180" s="7"/>
      <c r="F180" s="7" t="s">
        <v>9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12.5" customHeight="1">
      <c r="A181" s="10" t="str">
        <f>IMAGE("https://lh3.googleusercontent.com/u/0/d/1DDfSOJrRKlOBVqm6GdO1SyMIR2MBnsjQ")</f>
        <v/>
      </c>
      <c r="B181" s="5" t="s">
        <v>92</v>
      </c>
      <c r="C181" s="5"/>
      <c r="D181" s="6"/>
      <c r="E181" s="7"/>
      <c r="F181" s="7" t="s">
        <v>9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12.5" customHeight="1">
      <c r="A182" s="10" t="str">
        <f>IMAGE("https://lh3.googleusercontent.com/u/0/d/1bRRArP5LNkvh8xtFvqf8WAcn-c_fPGPb")</f>
        <v/>
      </c>
      <c r="B182" s="5" t="s">
        <v>93</v>
      </c>
      <c r="C182" s="5"/>
      <c r="D182" s="6"/>
      <c r="E182" s="7"/>
      <c r="F182" s="7" t="s">
        <v>9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12.5" customHeight="1">
      <c r="A183" s="10" t="str">
        <f>IMAGE("https://lh3.googleusercontent.com/u/0/d/1gGsNsjOv378022Tzt-Q8IgQzH6Ox2Rjy")</f>
        <v/>
      </c>
      <c r="B183" s="5" t="s">
        <v>94</v>
      </c>
      <c r="C183" s="5"/>
      <c r="D183" s="6"/>
      <c r="E183" s="7"/>
      <c r="F183" s="7" t="s">
        <v>9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12.5" customHeight="1">
      <c r="A184" s="10" t="str">
        <f>IMAGE("https://lh3.googleusercontent.com/u/0/d/141IFHarmIesRhKZzCtiPs7QwpI6V8XbQ")</f>
        <v/>
      </c>
      <c r="B184" s="5" t="s">
        <v>95</v>
      </c>
      <c r="C184" s="5"/>
      <c r="D184" s="6"/>
      <c r="E184" s="7"/>
      <c r="F184" s="7" t="s">
        <v>9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12.5" customHeight="1">
      <c r="A185" s="10" t="str">
        <f>IMAGE("https://lh3.googleusercontent.com/u/0/d/1UWm8wruVIHN5LYlhI1l8ufE0sHNOhHgk")</f>
        <v/>
      </c>
      <c r="B185" s="5" t="s">
        <v>96</v>
      </c>
      <c r="C185" s="5"/>
      <c r="D185" s="6"/>
      <c r="E185" s="7"/>
      <c r="F185" s="7" t="s">
        <v>9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12.5" customHeight="1">
      <c r="A186" s="10" t="str">
        <f>IMAGE("https://lh3.googleusercontent.com/u/0/d/1q_VxPc8xtfK6JWXxJY-RYcwugHolMu5H")</f>
        <v/>
      </c>
      <c r="B186" s="5" t="s">
        <v>97</v>
      </c>
      <c r="C186" s="5"/>
      <c r="D186" s="6"/>
      <c r="E186" s="7"/>
      <c r="F186" s="7" t="s">
        <v>9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12.5" customHeight="1">
      <c r="A187" s="10" t="str">
        <f>IMAGE("https://lh3.googleusercontent.com/u/0/d/1rY7ZaKhTrvgNwW5x7A9H2GJTiPRPDFUk")</f>
        <v/>
      </c>
      <c r="B187" s="5" t="s">
        <v>98</v>
      </c>
      <c r="C187" s="5"/>
      <c r="D187" s="6"/>
      <c r="E187" s="7"/>
      <c r="F187" s="7" t="s">
        <v>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12.5" customHeight="1">
      <c r="A188" s="10" t="str">
        <f>IMAGE("https://lh3.googleusercontent.com/u/0/d/1gKARZsU2EJwzlbmkjr0uUkLM9MJ2FSDD")</f>
        <v/>
      </c>
      <c r="B188" s="5" t="s">
        <v>99</v>
      </c>
      <c r="C188" s="5"/>
      <c r="D188" s="6"/>
      <c r="E188" s="7"/>
      <c r="F188" s="7" t="s">
        <v>9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12.5" customHeight="1">
      <c r="A189" s="10" t="str">
        <f>IMAGE("https://lh3.googleusercontent.com/u/0/d/1rEdv89SnpxnNNd5S2gsvvqrY_Xb3ICcn")</f>
        <v/>
      </c>
      <c r="B189" s="5" t="s">
        <v>100</v>
      </c>
      <c r="C189" s="5"/>
      <c r="D189" s="6"/>
      <c r="E189" s="7"/>
      <c r="F189" s="7" t="s">
        <v>9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12.5" customHeight="1">
      <c r="A190" s="10" t="str">
        <f>IMAGE("https://lh3.googleusercontent.com/u/0/d/14JymmuLsZIQn9nvuQDxtKfqFHdXz4f1p")</f>
        <v/>
      </c>
      <c r="B190" s="5" t="s">
        <v>101</v>
      </c>
      <c r="C190" s="5"/>
      <c r="D190" s="6"/>
      <c r="E190" s="7"/>
      <c r="F190" s="7" t="s">
        <v>9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12.5" customHeight="1">
      <c r="A191" s="10" t="str">
        <f>IMAGE("https://lh3.googleusercontent.com/u/0/d/1f8Ge16rNx_5lrwADdjhyL_IflEaLiGHz")</f>
        <v/>
      </c>
      <c r="B191" s="5" t="s">
        <v>102</v>
      </c>
      <c r="C191" s="5"/>
      <c r="D191" s="6"/>
      <c r="E191" s="7"/>
      <c r="F191" s="7" t="s">
        <v>9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12.5" customHeight="1">
      <c r="A192" s="10" t="str">
        <f>IMAGE("https://lh3.googleusercontent.com/u/0/d/1Rd5U9vlA0p3PtO7DggSWV4f7Zlgmzys-")</f>
        <v/>
      </c>
      <c r="B192" s="5" t="s">
        <v>103</v>
      </c>
      <c r="C192" s="5"/>
      <c r="D192" s="6"/>
      <c r="E192" s="7"/>
      <c r="F192" s="7" t="s">
        <v>9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12.5" customHeight="1">
      <c r="A193" s="10" t="str">
        <f>IMAGE("https://lh3.googleusercontent.com/u/0/d/1Khw-_8Ii0RzOoa5CXeL2q7XfxLQGjlaV")</f>
        <v/>
      </c>
      <c r="B193" s="5" t="s">
        <v>104</v>
      </c>
      <c r="C193" s="5"/>
      <c r="D193" s="6"/>
      <c r="E193" s="7"/>
      <c r="F193" s="7" t="s">
        <v>9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12.5" customHeight="1">
      <c r="A194" s="10" t="str">
        <f>IMAGE("https://lh3.googleusercontent.com/u/0/d/1WqipSWo8R2F8Ps8HtqZRYfFf9gh6X_RA")</f>
        <v/>
      </c>
      <c r="B194" s="5" t="s">
        <v>105</v>
      </c>
      <c r="C194" s="5"/>
      <c r="D194" s="6"/>
      <c r="E194" s="7"/>
      <c r="F194" s="7" t="s">
        <v>9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12.5" customHeight="1">
      <c r="A195" s="10" t="str">
        <f>IMAGE("https://lh3.googleusercontent.com/u/0/d/1ksZ8JYoF4k2tKoYf9BPkt86ElQZVZBBe")</f>
        <v/>
      </c>
      <c r="B195" s="5" t="s">
        <v>106</v>
      </c>
      <c r="C195" s="5"/>
      <c r="D195" s="6"/>
      <c r="E195" s="7"/>
      <c r="F195" s="7" t="s">
        <v>9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12.5" customHeight="1">
      <c r="A196" s="10" t="str">
        <f>IMAGE("https://lh3.googleusercontent.com/u/0/d/11jR9HW1ltgY1yGBZyBBcVa9_hlEtNQy1")</f>
        <v/>
      </c>
      <c r="B196" s="5" t="s">
        <v>107</v>
      </c>
      <c r="C196" s="5"/>
      <c r="D196" s="6"/>
      <c r="E196" s="7"/>
      <c r="F196" s="7" t="s">
        <v>9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12.5" customHeight="1">
      <c r="A197" s="10" t="str">
        <f>IMAGE("https://lh3.googleusercontent.com/u/0/d/1DO0hLjjgIavNxudtoGm_lPTo98wv0RRb")</f>
        <v/>
      </c>
      <c r="B197" s="5" t="s">
        <v>108</v>
      </c>
      <c r="C197" s="5"/>
      <c r="D197" s="6"/>
      <c r="E197" s="7"/>
      <c r="F197" s="7" t="s">
        <v>9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12.5" customHeight="1">
      <c r="A198" s="10" t="str">
        <f>IMAGE("https://lh3.googleusercontent.com/u/0/d/1SAXWksIOKNab6ZZXmvFQ1rFaQpahyqFx")</f>
        <v/>
      </c>
      <c r="B198" s="5" t="s">
        <v>109</v>
      </c>
      <c r="C198" s="5"/>
      <c r="D198" s="6"/>
      <c r="E198" s="7"/>
      <c r="F198" s="7" t="s">
        <v>9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12.5" customHeight="1">
      <c r="A199" s="10" t="str">
        <f>IMAGE("https://lh3.googleusercontent.com/u/0/d/1gilAGeKYpTkHAPYqXa4yaBGdsGfZf2AE")</f>
        <v/>
      </c>
      <c r="B199" s="5" t="s">
        <v>110</v>
      </c>
      <c r="C199" s="5"/>
      <c r="D199" s="6"/>
      <c r="E199" s="7"/>
      <c r="F199" s="7" t="s">
        <v>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12.5" customHeight="1">
      <c r="A200" s="10" t="str">
        <f>IMAGE("https://lh3.googleusercontent.com/u/0/d/1z56nyyn8VAyvpEpK2D9lszRXItUhRJ3K")</f>
        <v/>
      </c>
      <c r="B200" s="5" t="s">
        <v>111</v>
      </c>
      <c r="C200" s="5"/>
      <c r="D200" s="6"/>
      <c r="E200" s="7"/>
      <c r="F200" s="7" t="s">
        <v>9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12.5" customHeight="1">
      <c r="A201" s="10" t="str">
        <f>IMAGE("https://lh3.googleusercontent.com/u/0/d/1bfFdza9e21tXgJl88CulPuc7e_SE--9U")</f>
        <v/>
      </c>
      <c r="B201" s="5" t="s">
        <v>112</v>
      </c>
      <c r="C201" s="5"/>
      <c r="D201" s="6"/>
      <c r="E201" s="7"/>
      <c r="F201" s="7" t="s">
        <v>9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12.5" customHeight="1">
      <c r="A202" s="10" t="str">
        <f>IMAGE("https://lh3.googleusercontent.com/u/0/d/1-yl2YzNpqtD7m4O0VGVh1nEYjaOBFEG0")</f>
        <v/>
      </c>
      <c r="B202" s="5" t="s">
        <v>113</v>
      </c>
      <c r="C202" s="5"/>
      <c r="D202" s="6"/>
      <c r="E202" s="7"/>
      <c r="F202" s="7" t="s">
        <v>9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12.5" customHeight="1">
      <c r="A203" s="10" t="str">
        <f>IMAGE("https://lh3.googleusercontent.com/u/0/d/1C5hN2zJylh4fMVQT5eNT31bD5q7OiZOH")</f>
        <v/>
      </c>
      <c r="B203" s="5" t="s">
        <v>114</v>
      </c>
      <c r="C203" s="5"/>
      <c r="D203" s="6"/>
      <c r="E203" s="7"/>
      <c r="F203" s="7" t="s">
        <v>9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12.5" customHeight="1">
      <c r="A204" s="10" t="str">
        <f>IMAGE("https://lh3.googleusercontent.com/u/0/d/1exRlaMwoQ39LGdsFzN0f5ZyjjsaMPG5k")</f>
        <v/>
      </c>
      <c r="B204" s="5" t="s">
        <v>115</v>
      </c>
      <c r="C204" s="5"/>
      <c r="D204" s="6"/>
      <c r="E204" s="7"/>
      <c r="F204" s="7" t="s">
        <v>9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12.5" customHeight="1">
      <c r="A205" s="10" t="str">
        <f>IMAGE("https://lh3.googleusercontent.com/u/0/d/1iEVVv7Kqu_sKMCQ2yhGvq1i_mIDFneVf")</f>
        <v/>
      </c>
      <c r="B205" s="5" t="s">
        <v>116</v>
      </c>
      <c r="C205" s="5"/>
      <c r="D205" s="6"/>
      <c r="E205" s="7"/>
      <c r="F205" s="7" t="s">
        <v>9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12.5" customHeight="1">
      <c r="A206" s="10" t="str">
        <f>IMAGE("https://lh3.googleusercontent.com/u/0/d/1Ph3Nk8IoURLRgsTK-WnGQGMKcWwBLvNj")</f>
        <v/>
      </c>
      <c r="B206" s="5" t="s">
        <v>117</v>
      </c>
      <c r="C206" s="5"/>
      <c r="D206" s="6"/>
      <c r="E206" s="7"/>
      <c r="F206" s="7" t="s">
        <v>9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12.5" customHeight="1">
      <c r="A207" s="10" t="str">
        <f>IMAGE("https://lh3.googleusercontent.com/u/0/d/1n3lJoY1t5IIRYcnpSK9jYdDw8MobGk9I")</f>
        <v/>
      </c>
      <c r="B207" s="5" t="s">
        <v>118</v>
      </c>
      <c r="C207" s="5"/>
      <c r="D207" s="6"/>
      <c r="E207" s="7"/>
      <c r="F207" s="7" t="s">
        <v>9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12.5" customHeight="1">
      <c r="A208" s="10" t="str">
        <f>IMAGE("https://lh3.googleusercontent.com/u/0/d/1wXv-V0_BOBowgD-9pOLuTGNA-47PU6Fd")</f>
        <v/>
      </c>
      <c r="B208" s="5" t="s">
        <v>119</v>
      </c>
      <c r="C208" s="5"/>
      <c r="D208" s="6"/>
      <c r="E208" s="7"/>
      <c r="F208" s="7" t="s">
        <v>9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12.5" customHeight="1">
      <c r="A209" s="10" t="str">
        <f>IMAGE("https://lh3.googleusercontent.com/u/0/d/1CIkKXp0ucinfffbp49zQAdLSO5nJr2Sz")</f>
        <v/>
      </c>
      <c r="B209" s="5" t="s">
        <v>120</v>
      </c>
      <c r="C209" s="5"/>
      <c r="D209" s="6"/>
      <c r="E209" s="7"/>
      <c r="F209" s="7" t="s">
        <v>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12.5" customHeight="1">
      <c r="A210" s="10" t="str">
        <f>IMAGE("https://lh3.googleusercontent.com/u/0/d/1f3QSeDvIFXJbky2WbNZFW0zbsKDi5Jxc")</f>
        <v/>
      </c>
      <c r="B210" s="5" t="s">
        <v>121</v>
      </c>
      <c r="C210" s="5"/>
      <c r="D210" s="6"/>
      <c r="E210" s="7"/>
      <c r="F210" s="7" t="s">
        <v>9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12.5" customHeight="1">
      <c r="A211" s="10" t="str">
        <f>IMAGE("https://lh3.googleusercontent.com/u/0/d/1fHtBHmO2VtNp6q0skNi_U3gpVIiKQrdD")</f>
        <v/>
      </c>
      <c r="B211" s="5" t="s">
        <v>122</v>
      </c>
      <c r="C211" s="5"/>
      <c r="D211" s="6"/>
      <c r="E211" s="7"/>
      <c r="F211" s="7" t="s">
        <v>9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12.5" customHeight="1">
      <c r="A212" s="10" t="str">
        <f>IMAGE("https://lh3.googleusercontent.com/u/0/d/1rDlo1nRogTc9oze15I0Ef8xCMjdne-kl")</f>
        <v/>
      </c>
      <c r="B212" s="5" t="s">
        <v>123</v>
      </c>
      <c r="C212" s="5"/>
      <c r="D212" s="6"/>
      <c r="E212" s="7"/>
      <c r="F212" s="7" t="s">
        <v>9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12.5" customHeight="1">
      <c r="A213" s="10" t="str">
        <f>IMAGE("https://lh3.googleusercontent.com/u/0/d/1Zrxa1iDNsMdlBeA-NXG9-tvH2XFwOlRE")</f>
        <v/>
      </c>
      <c r="B213" s="5" t="s">
        <v>124</v>
      </c>
      <c r="C213" s="5"/>
      <c r="D213" s="6"/>
      <c r="E213" s="7"/>
      <c r="F213" s="7" t="s">
        <v>9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12.5" customHeight="1">
      <c r="A214" s="10" t="str">
        <f>IMAGE("https://lh3.googleusercontent.com/u/0/d/1Qf4D0z9a07ANDXuN-L_vvv_-c8OWhAHe")</f>
        <v/>
      </c>
      <c r="B214" s="5" t="s">
        <v>125</v>
      </c>
      <c r="C214" s="5"/>
      <c r="D214" s="6"/>
      <c r="E214" s="7"/>
      <c r="F214" s="7" t="s">
        <v>9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12.5" customHeight="1">
      <c r="A215" s="10" t="str">
        <f>IMAGE("https://lh3.googleusercontent.com/u/0/d/1gCiN2_Vi8GGU4UoM7Rofjj-4mygOcONq")</f>
        <v/>
      </c>
      <c r="B215" s="5" t="s">
        <v>126</v>
      </c>
      <c r="C215" s="5"/>
      <c r="D215" s="6"/>
      <c r="E215" s="7"/>
      <c r="F215" s="7" t="s">
        <v>9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12.5" customHeight="1">
      <c r="A216" s="10" t="str">
        <f>IMAGE("https://lh3.googleusercontent.com/u/0/d/1w8XJE3wtV8AlPtIy1jpfRZ05TRb_QaOp")</f>
        <v/>
      </c>
      <c r="B216" s="5" t="s">
        <v>127</v>
      </c>
      <c r="C216" s="5"/>
      <c r="D216" s="6"/>
      <c r="E216" s="7"/>
      <c r="F216" s="7" t="s">
        <v>9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12.5" customHeight="1">
      <c r="A217" s="10" t="str">
        <f>IMAGE("https://lh3.googleusercontent.com/u/0/d/1VaDR0ubS1WRsO-tdFlE_RWN_x9FVdn1b")</f>
        <v/>
      </c>
      <c r="B217" s="5" t="s">
        <v>128</v>
      </c>
      <c r="C217" s="5"/>
      <c r="D217" s="6"/>
      <c r="E217" s="7"/>
      <c r="F217" s="7" t="s">
        <v>9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12.5" customHeight="1">
      <c r="A218" s="10" t="str">
        <f>IMAGE("https://lh3.googleusercontent.com/u/0/d/1T6_NtCkpJJlLF5LFm6DRRwmUpgQPtMPD")</f>
        <v/>
      </c>
      <c r="B218" s="5" t="s">
        <v>129</v>
      </c>
      <c r="C218" s="5"/>
      <c r="D218" s="6"/>
      <c r="E218" s="7"/>
      <c r="F218" s="7" t="s">
        <v>9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12.5" customHeight="1">
      <c r="A219" s="10" t="str">
        <f>IMAGE("https://lh3.googleusercontent.com/u/0/d/1WBLIRJAURb-nx7qC_r31LcD1QIKgbvd4")</f>
        <v/>
      </c>
      <c r="B219" s="5" t="s">
        <v>130</v>
      </c>
      <c r="C219" s="5"/>
      <c r="D219" s="6"/>
      <c r="E219" s="7"/>
      <c r="F219" s="7" t="s">
        <v>131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12.5" customHeight="1">
      <c r="A220" s="10" t="str">
        <f>IMAGE("https://lh3.googleusercontent.com/u/0/d/14eCJw7osV7rM2eyX2ASJlsg3loShyxOU")</f>
        <v/>
      </c>
      <c r="B220" s="5" t="s">
        <v>132</v>
      </c>
      <c r="C220" s="5"/>
      <c r="D220" s="6"/>
      <c r="E220" s="7"/>
      <c r="F220" s="7" t="s">
        <v>131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12.5" customHeight="1">
      <c r="A221" s="10" t="str">
        <f>IMAGE("https://lh3.googleusercontent.com/u/0/d/10lJiIcC_n84bgluFpxIlnpMA_AE_r-ma")</f>
        <v/>
      </c>
      <c r="B221" s="5" t="s">
        <v>133</v>
      </c>
      <c r="C221" s="5"/>
      <c r="D221" s="6"/>
      <c r="E221" s="7"/>
      <c r="F221" s="7" t="s">
        <v>131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12.5" customHeight="1">
      <c r="A222" s="10" t="str">
        <f>IMAGE("https://lh3.googleusercontent.com/u/0/d/1Ma57xc7RmHcnW1rULXGAKhOrU_KSgXfl")</f>
        <v/>
      </c>
      <c r="B222" s="5" t="s">
        <v>134</v>
      </c>
      <c r="C222" s="5"/>
      <c r="D222" s="6"/>
      <c r="E222" s="7"/>
      <c r="F222" s="7" t="s">
        <v>131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12.5" customHeight="1">
      <c r="A223" s="10" t="str">
        <f>IMAGE("https://lh3.googleusercontent.com/u/0/d/1yrMImijLxM8LlshrU1wXTioH7acTz1gF")</f>
        <v/>
      </c>
      <c r="B223" s="5" t="s">
        <v>135</v>
      </c>
      <c r="C223" s="5"/>
      <c r="D223" s="6"/>
      <c r="E223" s="7"/>
      <c r="F223" s="7" t="s">
        <v>131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12.5" customHeight="1">
      <c r="A224" s="10" t="str">
        <f>IMAGE("https://lh3.googleusercontent.com/u/0/d/1BDZIdXKBN6LiWGpKqxaNKRjfFN_f3ENv")</f>
        <v/>
      </c>
      <c r="B224" s="5" t="s">
        <v>136</v>
      </c>
      <c r="C224" s="5"/>
      <c r="D224" s="6"/>
      <c r="E224" s="7"/>
      <c r="F224" s="7" t="s">
        <v>131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12.5" customHeight="1">
      <c r="A225" s="10" t="str">
        <f>IMAGE("https://lh3.googleusercontent.com/u/0/d/1fQ49dNYUd1nlB4QdwYl7pdZkRE3DAm21")</f>
        <v/>
      </c>
      <c r="B225" s="5" t="s">
        <v>137</v>
      </c>
      <c r="C225" s="5"/>
      <c r="D225" s="6"/>
      <c r="E225" s="7"/>
      <c r="F225" s="7" t="s">
        <v>131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12.5" customHeight="1">
      <c r="A226" s="10" t="str">
        <f>IMAGE("https://lh3.googleusercontent.com/u/0/d/10zgTtAEfgkEXFhJEdM1q-_ECTMXGRzFw")</f>
        <v/>
      </c>
      <c r="B226" s="5" t="s">
        <v>138</v>
      </c>
      <c r="C226" s="5"/>
      <c r="D226" s="6"/>
      <c r="E226" s="7"/>
      <c r="F226" s="7" t="s">
        <v>131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12.5" customHeight="1">
      <c r="A227" s="10" t="str">
        <f>IMAGE("https://lh3.googleusercontent.com/u/0/d/1IYjDfdIFQf6cC4tbD3L2DNbIb6nYzgOV")</f>
        <v/>
      </c>
      <c r="B227" s="5" t="s">
        <v>139</v>
      </c>
      <c r="C227" s="5"/>
      <c r="D227" s="6"/>
      <c r="E227" s="7"/>
      <c r="F227" s="7" t="s">
        <v>131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12.5" customHeight="1">
      <c r="A228" s="10" t="str">
        <f>IMAGE("https://lh3.googleusercontent.com/u/0/d/1GEOLfKV4Di2H2DWu6kr014ovVLviCo_u")</f>
        <v/>
      </c>
      <c r="B228" s="5" t="s">
        <v>140</v>
      </c>
      <c r="C228" s="5"/>
      <c r="D228" s="6"/>
      <c r="E228" s="7"/>
      <c r="F228" s="7" t="s">
        <v>131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12.5" customHeight="1">
      <c r="A229" s="10" t="str">
        <f>IMAGE("https://lh3.googleusercontent.com/u/0/d/1--NJcGV7pUY5oM5L1ZxHAs3PrVz9lTLv")</f>
        <v/>
      </c>
      <c r="B229" s="5" t="s">
        <v>141</v>
      </c>
      <c r="C229" s="5"/>
      <c r="D229" s="6"/>
      <c r="E229" s="7"/>
      <c r="F229" s="7" t="s">
        <v>131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12.5" customHeight="1">
      <c r="A230" s="10" t="str">
        <f>IMAGE("https://lh3.googleusercontent.com/u/0/d/1o_pJL9tBHrSxgAJk5Df_TSMN5tm1a-nc")</f>
        <v/>
      </c>
      <c r="B230" s="5" t="s">
        <v>142</v>
      </c>
      <c r="C230" s="5"/>
      <c r="D230" s="6"/>
      <c r="E230" s="7"/>
      <c r="F230" s="7" t="s">
        <v>131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12.5" customHeight="1">
      <c r="A231" s="10" t="str">
        <f>IMAGE("https://lh3.googleusercontent.com/u/0/d/1dl8JtXDaegGIUHU50CPHiRompH5SmUbT")</f>
        <v/>
      </c>
      <c r="B231" s="5" t="s">
        <v>143</v>
      </c>
      <c r="C231" s="5"/>
      <c r="D231" s="6"/>
      <c r="E231" s="7"/>
      <c r="F231" s="7" t="s">
        <v>131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12.5" customHeight="1">
      <c r="A232" s="10" t="str">
        <f>IMAGE("https://lh3.googleusercontent.com/u/0/d/1PTEQXjR53Di5RAuOmlJPfYwd8IUv-sHM")</f>
        <v/>
      </c>
      <c r="B232" s="5" t="s">
        <v>144</v>
      </c>
      <c r="C232" s="5"/>
      <c r="D232" s="6"/>
      <c r="E232" s="7"/>
      <c r="F232" s="7" t="s">
        <v>131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12.5" customHeight="1">
      <c r="A233" s="10" t="str">
        <f>IMAGE("https://lh3.googleusercontent.com/u/0/d/1dwcyCKIrAM1g3CdMAohFeN7ORMATNLxE")</f>
        <v/>
      </c>
      <c r="B233" s="5" t="s">
        <v>145</v>
      </c>
      <c r="C233" s="5"/>
      <c r="D233" s="6"/>
      <c r="E233" s="7"/>
      <c r="F233" s="7" t="s">
        <v>131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12.5" customHeight="1">
      <c r="A234" s="10" t="str">
        <f>IMAGE("https://lh3.googleusercontent.com/u/0/d/1ZR0PPQ4rERVeL_lby2lVCcx3GXbGWcWM")</f>
        <v/>
      </c>
      <c r="B234" s="5" t="s">
        <v>146</v>
      </c>
      <c r="C234" s="5"/>
      <c r="D234" s="6"/>
      <c r="E234" s="7"/>
      <c r="F234" s="7" t="s">
        <v>131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12.5" customHeight="1">
      <c r="A235" s="10" t="str">
        <f>IMAGE("https://lh3.googleusercontent.com/u/0/d/1hf0Vz8NADD-BkIIkxuD0siJNndTS1w1J")</f>
        <v/>
      </c>
      <c r="B235" s="5" t="s">
        <v>147</v>
      </c>
      <c r="C235" s="5"/>
      <c r="D235" s="6"/>
      <c r="E235" s="7"/>
      <c r="F235" s="7" t="s">
        <v>131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12.5" customHeight="1">
      <c r="A236" s="10" t="str">
        <f>IMAGE("https://lh3.googleusercontent.com/u/0/d/1sUT8If744DJrgCV93S8AM7-aKF_2FPhR")</f>
        <v/>
      </c>
      <c r="B236" s="5" t="s">
        <v>148</v>
      </c>
      <c r="C236" s="5"/>
      <c r="D236" s="6"/>
      <c r="E236" s="7"/>
      <c r="F236" s="7" t="s">
        <v>131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12.5" customHeight="1">
      <c r="A237" s="10" t="str">
        <f>IMAGE("https://lh3.googleusercontent.com/u/0/d/128ZEk3M0NT38BN4xrxK3rOKFB-HeTX4U")</f>
        <v/>
      </c>
      <c r="B237" s="5" t="s">
        <v>149</v>
      </c>
      <c r="C237" s="5"/>
      <c r="D237" s="6"/>
      <c r="E237" s="7"/>
      <c r="F237" s="7" t="s">
        <v>131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12.5" customHeight="1">
      <c r="A238" s="10" t="str">
        <f>IMAGE("https://lh3.googleusercontent.com/u/0/d/12Btdz5l859v3_ds7ItSTn6YGm2wU1uwe")</f>
        <v/>
      </c>
      <c r="B238" s="5" t="s">
        <v>150</v>
      </c>
      <c r="C238" s="5"/>
      <c r="D238" s="6"/>
      <c r="E238" s="7"/>
      <c r="F238" s="7" t="s">
        <v>131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12.5" customHeight="1">
      <c r="A239" s="10" t="str">
        <f>IMAGE("https://lh3.googleusercontent.com/u/0/d/1wt_2RP3tSQX0lfjKclgq3dzCxUZEUnD9")</f>
        <v/>
      </c>
      <c r="B239" s="5" t="s">
        <v>151</v>
      </c>
      <c r="C239" s="5"/>
      <c r="D239" s="6"/>
      <c r="E239" s="7"/>
      <c r="F239" s="7" t="s">
        <v>131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12.5" customHeight="1">
      <c r="A240" s="10" t="str">
        <f>IMAGE("https://lh3.googleusercontent.com/u/0/d/15p5QoWPiWoVCuIB3q6_wq0h7_5Ullgy7")</f>
        <v/>
      </c>
      <c r="B240" s="5" t="s">
        <v>152</v>
      </c>
      <c r="C240" s="5"/>
      <c r="D240" s="6"/>
      <c r="E240" s="7"/>
      <c r="F240" s="7" t="s">
        <v>131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12.5" customHeight="1">
      <c r="A241" s="10" t="str">
        <f>IMAGE("https://lh3.googleusercontent.com/u/0/d/1qqObMUc9DRgitx5KgOGeWet34230hf4h")</f>
        <v/>
      </c>
      <c r="B241" s="5" t="s">
        <v>153</v>
      </c>
      <c r="C241" s="5"/>
      <c r="D241" s="6"/>
      <c r="E241" s="7"/>
      <c r="F241" s="7" t="s">
        <v>131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12.5" customHeight="1">
      <c r="A242" s="10" t="str">
        <f>IMAGE("https://lh3.googleusercontent.com/u/0/d/1gNEsWDqEVHJdizPkHl1caeBO6LiPAsxu")</f>
        <v/>
      </c>
      <c r="B242" s="5" t="s">
        <v>154</v>
      </c>
      <c r="C242" s="5"/>
      <c r="D242" s="6"/>
      <c r="E242" s="7"/>
      <c r="F242" s="7" t="s">
        <v>131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12.5" customHeight="1">
      <c r="A243" s="10" t="str">
        <f>IMAGE("https://lh3.googleusercontent.com/u/0/d/19gZPjFNxHgbS6brYfNNTTdqmqpfXN22C")</f>
        <v/>
      </c>
      <c r="B243" s="5" t="s">
        <v>155</v>
      </c>
      <c r="C243" s="5"/>
      <c r="D243" s="6"/>
      <c r="E243" s="7"/>
      <c r="F243" s="7" t="s">
        <v>131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12.5" customHeight="1">
      <c r="A244" s="10" t="str">
        <f>IMAGE("https://lh3.googleusercontent.com/u/0/d/1vQvSsOl89gh-Y6tKyGot8wL9m2HQ38Ld")</f>
        <v/>
      </c>
      <c r="B244" s="5" t="s">
        <v>156</v>
      </c>
      <c r="C244" s="5"/>
      <c r="D244" s="6"/>
      <c r="E244" s="7"/>
      <c r="F244" s="7" t="s">
        <v>131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12.5" customHeight="1">
      <c r="A245" s="10" t="str">
        <f>IMAGE("https://lh3.googleusercontent.com/u/0/d/1dRnuQiXpOTxLc09W525caoSxmbySpTt8")</f>
        <v/>
      </c>
      <c r="B245" s="5" t="s">
        <v>157</v>
      </c>
      <c r="C245" s="5"/>
      <c r="D245" s="6"/>
      <c r="E245" s="7"/>
      <c r="F245" s="7" t="s">
        <v>131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12.5" customHeight="1">
      <c r="A246" s="10" t="str">
        <f>IMAGE("https://lh3.googleusercontent.com/u/0/d/1-P_FcpW1WrhykUdxeMI7olwA_p3qp9TK")</f>
        <v/>
      </c>
      <c r="B246" s="5" t="s">
        <v>158</v>
      </c>
      <c r="C246" s="5"/>
      <c r="D246" s="6"/>
      <c r="E246" s="7"/>
      <c r="F246" s="7" t="s">
        <v>131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12.5" customHeight="1">
      <c r="A247" s="10" t="str">
        <f>IMAGE("https://lh3.googleusercontent.com/u/0/d/19J9P38mBWFuK3I11Zn-wi6ZSZPPlKfdn")</f>
        <v/>
      </c>
      <c r="B247" s="5" t="s">
        <v>159</v>
      </c>
      <c r="C247" s="5"/>
      <c r="D247" s="6"/>
      <c r="E247" s="7"/>
      <c r="F247" s="7" t="s">
        <v>131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12.5" customHeight="1">
      <c r="A248" s="10" t="str">
        <f>IMAGE("https://lh3.googleusercontent.com/u/0/d/1xkuXQucm9ZhRpZYoNkE6QViLbeSNXGl8")</f>
        <v/>
      </c>
      <c r="B248" s="5" t="s">
        <v>160</v>
      </c>
      <c r="C248" s="5"/>
      <c r="D248" s="6"/>
      <c r="E248" s="7"/>
      <c r="F248" s="7" t="s">
        <v>131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12.5" customHeight="1">
      <c r="A249" s="10" t="str">
        <f>IMAGE("https://lh3.googleusercontent.com/u/0/d/1IopwhfdTea4N7Su-NIpCJd8W_4wcIuDf")</f>
        <v/>
      </c>
      <c r="B249" s="5" t="s">
        <v>161</v>
      </c>
      <c r="C249" s="5"/>
      <c r="D249" s="6"/>
      <c r="E249" s="7"/>
      <c r="F249" s="7" t="s">
        <v>131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12.5" customHeight="1">
      <c r="A250" s="10" t="str">
        <f>IMAGE("https://lh3.googleusercontent.com/u/0/d/1KdpL1m-17-DvXakiwrqfRSsL9pxCDz-Z")</f>
        <v/>
      </c>
      <c r="B250" s="5" t="s">
        <v>162</v>
      </c>
      <c r="C250" s="5"/>
      <c r="D250" s="6"/>
      <c r="E250" s="7"/>
      <c r="F250" s="7" t="s">
        <v>131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12.5" customHeight="1">
      <c r="A251" s="10" t="str">
        <f>IMAGE("https://lh3.googleusercontent.com/u/0/d/1ARm1NBt8k8ZKzvGyFbZHXrhlzPVVmJQC")</f>
        <v/>
      </c>
      <c r="B251" s="5" t="s">
        <v>163</v>
      </c>
      <c r="C251" s="5"/>
      <c r="D251" s="6"/>
      <c r="E251" s="7"/>
      <c r="F251" s="7" t="s">
        <v>131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12.5" customHeight="1">
      <c r="A252" s="10" t="str">
        <f>IMAGE("https://lh3.googleusercontent.com/u/0/d/1Mr0X-75UzZQnYXA2VhKe21s14qk9AsYe")</f>
        <v/>
      </c>
      <c r="B252" s="5" t="s">
        <v>164</v>
      </c>
      <c r="C252" s="5"/>
      <c r="D252" s="6"/>
      <c r="E252" s="7"/>
      <c r="F252" s="7" t="s">
        <v>131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12.5" customHeight="1">
      <c r="A253" s="10" t="str">
        <f>IMAGE("https://lh3.googleusercontent.com/u/0/d/1Ed3FTwBo59ThCPvCuVtD0wwF1rUKv5xg")</f>
        <v/>
      </c>
      <c r="B253" s="5" t="s">
        <v>165</v>
      </c>
      <c r="C253" s="5"/>
      <c r="D253" s="6"/>
      <c r="E253" s="7"/>
      <c r="F253" s="7" t="s">
        <v>131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12.5" customHeight="1">
      <c r="A254" s="10" t="str">
        <f>IMAGE("https://lh3.googleusercontent.com/u/0/d/1huqpyPbnZHk2qNY5ruoQNV3LoO7IxWlL")</f>
        <v/>
      </c>
      <c r="B254" s="5" t="s">
        <v>166</v>
      </c>
      <c r="C254" s="5"/>
      <c r="D254" s="6"/>
      <c r="E254" s="7"/>
      <c r="F254" s="7" t="s">
        <v>131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12.5" customHeight="1">
      <c r="A255" s="10" t="str">
        <f>IMAGE("https://lh3.googleusercontent.com/u/0/d/1U_o-w4IJ-7yM-_boGv2UZss-El3HlVZj")</f>
        <v/>
      </c>
      <c r="B255" s="5" t="s">
        <v>167</v>
      </c>
      <c r="C255" s="5"/>
      <c r="D255" s="6"/>
      <c r="E255" s="7"/>
      <c r="F255" s="7" t="s">
        <v>131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12.5" customHeight="1">
      <c r="A256" s="10" t="str">
        <f>IMAGE("https://lh3.googleusercontent.com/u/0/d/1KwzxMAkb8DYwnRqq57YzzV_f0LbIcwuF")</f>
        <v/>
      </c>
      <c r="B256" s="5" t="s">
        <v>168</v>
      </c>
      <c r="C256" s="5"/>
      <c r="D256" s="6"/>
      <c r="E256" s="7"/>
      <c r="F256" s="7" t="s">
        <v>131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12.5" customHeight="1">
      <c r="A257" s="10" t="str">
        <f>IMAGE("https://lh3.googleusercontent.com/u/0/d/1xT21LPSIROuetddhppSEDk4vXNELojZr")</f>
        <v/>
      </c>
      <c r="B257" s="5" t="s">
        <v>169</v>
      </c>
      <c r="C257" s="5"/>
      <c r="D257" s="6"/>
      <c r="E257" s="7"/>
      <c r="F257" s="7" t="s">
        <v>131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12.5" customHeight="1">
      <c r="A258" s="10" t="str">
        <f>IMAGE("https://lh3.googleusercontent.com/u/0/d/1tRxvvAmDnNxIijIZ4ZoEiI4-uMse8LX4")</f>
        <v/>
      </c>
      <c r="B258" s="5" t="s">
        <v>170</v>
      </c>
      <c r="C258" s="5"/>
      <c r="D258" s="6"/>
      <c r="E258" s="7"/>
      <c r="F258" s="7" t="s">
        <v>131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12.5" customHeight="1">
      <c r="A259" s="10" t="str">
        <f>IMAGE("https://lh3.googleusercontent.com/u/0/d/1BhF6nFg7eI2WHaKGn_SdKMQNzbDbYqx_")</f>
        <v/>
      </c>
      <c r="B259" s="5" t="s">
        <v>171</v>
      </c>
      <c r="C259" s="5"/>
      <c r="D259" s="6"/>
      <c r="E259" s="7"/>
      <c r="F259" s="7" t="s">
        <v>131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12.5" customHeight="1">
      <c r="A260" s="10" t="str">
        <f>IMAGE("https://lh3.googleusercontent.com/u/0/d/125Cq_XHruqJiDeG1VhGbrbwy4DWOxqjt")</f>
        <v/>
      </c>
      <c r="B260" s="5" t="s">
        <v>172</v>
      </c>
      <c r="C260" s="5"/>
      <c r="D260" s="6"/>
      <c r="E260" s="7"/>
      <c r="F260" s="7" t="s">
        <v>131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12.5" customHeight="1">
      <c r="A261" s="10" t="str">
        <f>IMAGE("https://lh3.googleusercontent.com/u/0/d/1HlOIxkErPE6u5fzQa6uU7024T4PA2xR-")</f>
        <v/>
      </c>
      <c r="B261" s="5" t="s">
        <v>173</v>
      </c>
      <c r="C261" s="5"/>
      <c r="D261" s="6"/>
      <c r="E261" s="7"/>
      <c r="F261" s="7" t="s">
        <v>131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12.5" customHeight="1">
      <c r="A262" s="10" t="str">
        <f>IMAGE("https://lh3.googleusercontent.com/u/0/d/1yrtigZdBgo81MEAvW-DQIf63GCNI7lJ2")</f>
        <v/>
      </c>
      <c r="B262" s="5" t="s">
        <v>174</v>
      </c>
      <c r="C262" s="5"/>
      <c r="D262" s="6"/>
      <c r="E262" s="7"/>
      <c r="F262" s="7" t="s">
        <v>131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12.5" customHeight="1">
      <c r="A263" s="10" t="str">
        <f>IMAGE("https://lh3.googleusercontent.com/u/0/d/1_PPX6w67Gb-JeaPtBfiClQQGv-D8ez-z")</f>
        <v/>
      </c>
      <c r="B263" s="5" t="s">
        <v>175</v>
      </c>
      <c r="C263" s="5"/>
      <c r="D263" s="6"/>
      <c r="E263" s="7"/>
      <c r="F263" s="7" t="s">
        <v>131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12.5" customHeight="1">
      <c r="A264" s="10" t="str">
        <f>IMAGE("https://lh3.googleusercontent.com/u/0/d/1L4REHkNVVha36JOUTUytUq7l73bvvgnU")</f>
        <v/>
      </c>
      <c r="B264" s="5" t="s">
        <v>176</v>
      </c>
      <c r="C264" s="5"/>
      <c r="D264" s="6"/>
      <c r="E264" s="7"/>
      <c r="F264" s="7" t="s">
        <v>131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12.5" customHeight="1">
      <c r="A265" s="10" t="str">
        <f>IMAGE("https://lh3.googleusercontent.com/u/0/d/1k8tS-SRuCCwFCYtIY068Q_mrnZ5WaBs2")</f>
        <v/>
      </c>
      <c r="B265" s="5" t="s">
        <v>177</v>
      </c>
      <c r="C265" s="5"/>
      <c r="D265" s="6"/>
      <c r="E265" s="7"/>
      <c r="F265" s="7" t="s">
        <v>131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12.5" customHeight="1">
      <c r="A266" s="10" t="str">
        <f>IMAGE("https://lh3.googleusercontent.com/u/0/d/1gXannxGgAr-AmCEygwqvX_D8cij_nS6B")</f>
        <v/>
      </c>
      <c r="B266" s="5" t="s">
        <v>178</v>
      </c>
      <c r="C266" s="5"/>
      <c r="D266" s="6"/>
      <c r="E266" s="7"/>
      <c r="F266" s="7" t="s">
        <v>131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12.5" customHeight="1">
      <c r="A267" s="10" t="str">
        <f>IMAGE("https://lh3.googleusercontent.com/u/0/d/1lkkmhv35okP6_jf9xym8SWczHSbF7RPF")</f>
        <v/>
      </c>
      <c r="B267" s="5" t="s">
        <v>179</v>
      </c>
      <c r="C267" s="5"/>
      <c r="D267" s="6"/>
      <c r="E267" s="7"/>
      <c r="F267" s="7" t="s">
        <v>131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12.5" customHeight="1">
      <c r="A268" s="10" t="str">
        <f>IMAGE("https://lh3.googleusercontent.com/u/0/d/1Qo1l7o6VN7pQAo9_OI57cfWW7y7NlNdO")</f>
        <v/>
      </c>
      <c r="B268" s="5" t="s">
        <v>180</v>
      </c>
      <c r="C268" s="5"/>
      <c r="D268" s="6"/>
      <c r="E268" s="7"/>
      <c r="F268" s="7" t="s">
        <v>131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12.5" customHeight="1">
      <c r="A269" s="10" t="str">
        <f>IMAGE("https://lh3.googleusercontent.com/u/0/d/1BotxU7Vb6fz_ef0amTVpfMygsEmMY1Y5")</f>
        <v/>
      </c>
      <c r="B269" s="5" t="s">
        <v>181</v>
      </c>
      <c r="C269" s="5"/>
      <c r="D269" s="6"/>
      <c r="E269" s="7"/>
      <c r="F269" s="7" t="s">
        <v>131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12.5" customHeight="1">
      <c r="A270" s="10" t="str">
        <f>IMAGE("https://lh3.googleusercontent.com/u/0/d/18yc3qYyv72zjviTTw4JaipMKv2nQ48Kn")</f>
        <v/>
      </c>
      <c r="B270" s="5" t="s">
        <v>182</v>
      </c>
      <c r="C270" s="5"/>
      <c r="D270" s="6"/>
      <c r="E270" s="7"/>
      <c r="F270" s="7" t="s">
        <v>131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12.5" customHeight="1">
      <c r="A271" s="10" t="str">
        <f>IMAGE("https://lh3.googleusercontent.com/u/0/d/1c3E3i8dR4UxgYi73-C8UDeEPysUALhPK")</f>
        <v/>
      </c>
      <c r="B271" s="5" t="s">
        <v>183</v>
      </c>
      <c r="C271" s="5"/>
      <c r="D271" s="6"/>
      <c r="E271" s="7"/>
      <c r="F271" s="7" t="s">
        <v>131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12.5" customHeight="1">
      <c r="A272" s="10" t="str">
        <f>IMAGE("https://lh3.googleusercontent.com/u/0/d/13X59w2ckOKNECbtm7h-SiUEuUUxQA3Ve")</f>
        <v/>
      </c>
      <c r="B272" s="5" t="s">
        <v>184</v>
      </c>
      <c r="C272" s="5"/>
      <c r="D272" s="6"/>
      <c r="E272" s="7"/>
      <c r="F272" s="7" t="s">
        <v>131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12.5" customHeight="1">
      <c r="A273" s="10" t="str">
        <f>IMAGE("https://lh3.googleusercontent.com/u/0/d/1zCuQRlkOuagGdV5BQnGrH2AxGuPnFsUn")</f>
        <v/>
      </c>
      <c r="B273" s="5" t="s">
        <v>185</v>
      </c>
      <c r="C273" s="5"/>
      <c r="D273" s="6"/>
      <c r="E273" s="7"/>
      <c r="F273" s="7" t="s">
        <v>131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12.5" customHeight="1">
      <c r="A274" s="10" t="str">
        <f>IMAGE("https://lh3.googleusercontent.com/u/0/d/1G1J8V-HXysi5ShL5J6KAD2DJ-i2wcFla")</f>
        <v/>
      </c>
      <c r="B274" s="5" t="s">
        <v>186</v>
      </c>
      <c r="C274" s="5"/>
      <c r="D274" s="6"/>
      <c r="E274" s="7"/>
      <c r="F274" s="7" t="s">
        <v>131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12.5" customHeight="1">
      <c r="A275" s="10" t="str">
        <f>IMAGE("https://lh3.googleusercontent.com/u/0/d/14QB7C8iMvCMLOCvZkD6xbk1V8_JxePln")</f>
        <v/>
      </c>
      <c r="B275" s="5" t="s">
        <v>187</v>
      </c>
      <c r="C275" s="5"/>
      <c r="D275" s="6"/>
      <c r="E275" s="7"/>
      <c r="F275" s="7" t="s">
        <v>131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12.5" customHeight="1">
      <c r="A276" s="10" t="str">
        <f>IMAGE("https://lh3.googleusercontent.com/u/0/d/10klpMhNCKUuHPi8YE_hlOJ7wtBm9W6pt")</f>
        <v/>
      </c>
      <c r="B276" s="5" t="s">
        <v>188</v>
      </c>
      <c r="C276" s="5"/>
      <c r="D276" s="6"/>
      <c r="E276" s="7"/>
      <c r="F276" s="7" t="s">
        <v>131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12.5" customHeight="1">
      <c r="A277" s="10" t="str">
        <f>IMAGE("https://lh3.googleusercontent.com/u/0/d/1v5ZPDLI4S3EAoH2WTSM1L0ktyROesVMg")</f>
        <v/>
      </c>
      <c r="B277" s="5" t="s">
        <v>189</v>
      </c>
      <c r="C277" s="5"/>
      <c r="D277" s="6"/>
      <c r="E277" s="7"/>
      <c r="F277" s="7" t="s">
        <v>131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12.5" customHeight="1">
      <c r="A278" s="10" t="str">
        <f>IMAGE("https://lh3.googleusercontent.com/u/0/d/1ZbatpHpPh3GInLoG7SNIzlahytJI0W8Z")</f>
        <v/>
      </c>
      <c r="B278" s="5" t="s">
        <v>190</v>
      </c>
      <c r="C278" s="5"/>
      <c r="D278" s="6"/>
      <c r="E278" s="7"/>
      <c r="F278" s="7" t="s">
        <v>131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12.5" customHeight="1">
      <c r="A279" s="10" t="str">
        <f>IMAGE("https://lh3.googleusercontent.com/u/0/d/1LqvBXRMOvxwEdrDvtk-1XNiX8FvSntto")</f>
        <v/>
      </c>
      <c r="B279" s="5" t="s">
        <v>191</v>
      </c>
      <c r="C279" s="5"/>
      <c r="D279" s="6"/>
      <c r="E279" s="7"/>
      <c r="F279" s="7" t="s">
        <v>131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12.5" customHeight="1">
      <c r="A280" s="10" t="str">
        <f>IMAGE("https://lh3.googleusercontent.com/u/0/d/1UX707YYJS4bCH_YbJShNtiqYCSkFwvW_")</f>
        <v/>
      </c>
      <c r="B280" s="5" t="s">
        <v>192</v>
      </c>
      <c r="C280" s="5"/>
      <c r="D280" s="6"/>
      <c r="E280" s="7"/>
      <c r="F280" s="7" t="s">
        <v>131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12.5" customHeight="1">
      <c r="A281" s="10" t="str">
        <f>IMAGE("https://lh3.googleusercontent.com/u/0/d/1aRVzh3LZirfYeqPUgmZpgD1PXf2ZEv18")</f>
        <v/>
      </c>
      <c r="B281" s="5" t="s">
        <v>193</v>
      </c>
      <c r="C281" s="5"/>
      <c r="D281" s="6"/>
      <c r="E281" s="7"/>
      <c r="F281" s="7" t="s">
        <v>131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12.5" customHeight="1">
      <c r="A282" s="10" t="str">
        <f>IMAGE("https://lh3.googleusercontent.com/u/0/d/1CT0y6jPPGuReQjl69LWU2qhWmk8gdjg4")</f>
        <v/>
      </c>
      <c r="B282" s="5" t="s">
        <v>194</v>
      </c>
      <c r="C282" s="5"/>
      <c r="D282" s="6"/>
      <c r="E282" s="7"/>
      <c r="F282" s="7" t="s">
        <v>131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12.5" customHeight="1">
      <c r="A283" s="10" t="str">
        <f>IMAGE("https://lh3.googleusercontent.com/u/0/d/1QWQnuU8-YLleoUUTcuDkjPpR5ww5fDB5")</f>
        <v/>
      </c>
      <c r="B283" s="5" t="s">
        <v>195</v>
      </c>
      <c r="C283" s="5"/>
      <c r="D283" s="6"/>
      <c r="E283" s="7"/>
      <c r="F283" s="7" t="s">
        <v>131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12.5" customHeight="1">
      <c r="A284" s="10" t="str">
        <f>IMAGE("https://lh3.googleusercontent.com/u/0/d/1Cjw6wfb34HnORPLQbNCzPiiAxnM4dzmo")</f>
        <v/>
      </c>
      <c r="B284" s="5" t="s">
        <v>196</v>
      </c>
      <c r="C284" s="5"/>
      <c r="D284" s="6"/>
      <c r="E284" s="7"/>
      <c r="F284" s="7" t="s">
        <v>131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12.5" customHeight="1">
      <c r="A285" s="10" t="str">
        <f>IMAGE("https://lh3.googleusercontent.com/u/0/d/1i6PdKp08lbtEw8JM-tmGMrf4XRNKIf3g")</f>
        <v/>
      </c>
      <c r="B285" s="5" t="s">
        <v>197</v>
      </c>
      <c r="C285" s="5"/>
      <c r="D285" s="6"/>
      <c r="E285" s="7"/>
      <c r="F285" s="7" t="s">
        <v>131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12.5" customHeight="1">
      <c r="A286" s="10" t="str">
        <f>IMAGE("https://lh3.googleusercontent.com/u/0/d/10Xt1UCyMpxAtE1-C1ZVcPtXc0EgT7FDD")</f>
        <v/>
      </c>
      <c r="B286" s="5" t="s">
        <v>198</v>
      </c>
      <c r="C286" s="5"/>
      <c r="D286" s="6"/>
      <c r="E286" s="7"/>
      <c r="F286" s="7" t="s">
        <v>131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12.5" customHeight="1">
      <c r="A287" s="10" t="str">
        <f>IMAGE("https://lh3.googleusercontent.com/u/0/d/1ljGbr5XC5hFk-1v5bWyYlcBRBiCaOn8I")</f>
        <v/>
      </c>
      <c r="B287" s="5" t="s">
        <v>199</v>
      </c>
      <c r="C287" s="5"/>
      <c r="D287" s="6"/>
      <c r="E287" s="7"/>
      <c r="F287" s="7" t="s">
        <v>131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12.5" customHeight="1">
      <c r="A288" s="10" t="str">
        <f>IMAGE("https://lh3.googleusercontent.com/u/0/d/17tN6cvJOG_jBcOMsvoeEBH77tbclu8bK")</f>
        <v/>
      </c>
      <c r="B288" s="5" t="s">
        <v>200</v>
      </c>
      <c r="C288" s="5"/>
      <c r="D288" s="6"/>
      <c r="E288" s="7"/>
      <c r="F288" s="7" t="s">
        <v>131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12.5" customHeight="1">
      <c r="A289" s="10" t="str">
        <f>IMAGE("https://lh3.googleusercontent.com/u/0/d/1_xqNZ-Yno-AdPiRvvxBK2hSX-gRGyhh7")</f>
        <v/>
      </c>
      <c r="B289" s="5" t="s">
        <v>201</v>
      </c>
      <c r="C289" s="5"/>
      <c r="D289" s="6"/>
      <c r="E289" s="7"/>
      <c r="F289" s="7" t="s">
        <v>131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12.5" customHeight="1">
      <c r="A290" s="10" t="str">
        <f>IMAGE("https://lh3.googleusercontent.com/u/0/d/1GHDujvTOKibG7e1Zwn-9FtcAuncMlb-O")</f>
        <v/>
      </c>
      <c r="B290" s="5" t="s">
        <v>202</v>
      </c>
      <c r="C290" s="5"/>
      <c r="D290" s="6"/>
      <c r="E290" s="7"/>
      <c r="F290" s="7" t="s">
        <v>131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12.5" customHeight="1">
      <c r="A291" s="10" t="str">
        <f>IMAGE("https://lh3.googleusercontent.com/u/0/d/1h_8RIpe53tq8Ohx0S4fgDok4Rv7QPNeT")</f>
        <v/>
      </c>
      <c r="B291" s="5" t="s">
        <v>203</v>
      </c>
      <c r="C291" s="5"/>
      <c r="D291" s="6"/>
      <c r="E291" s="7"/>
      <c r="F291" s="7" t="s">
        <v>131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12.5" customHeight="1">
      <c r="A292" s="10" t="str">
        <f>IMAGE("https://lh3.googleusercontent.com/u/0/d/13CKGVvPQabWe3dvZNvfmefG8zp9M3kVl")</f>
        <v/>
      </c>
      <c r="B292" s="5" t="s">
        <v>204</v>
      </c>
      <c r="C292" s="5"/>
      <c r="D292" s="6"/>
      <c r="E292" s="7"/>
      <c r="F292" s="7" t="s">
        <v>131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12.5" customHeight="1">
      <c r="A293" s="10" t="str">
        <f>IMAGE("https://lh3.googleusercontent.com/u/0/d/1uGfo-yDSrrtG50y3GpN_Z_cHPaJxZxot")</f>
        <v/>
      </c>
      <c r="B293" s="5" t="s">
        <v>205</v>
      </c>
      <c r="C293" s="5"/>
      <c r="D293" s="6"/>
      <c r="E293" s="7"/>
      <c r="F293" s="7" t="s">
        <v>131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12.5" customHeight="1">
      <c r="A294" s="10" t="str">
        <f>IMAGE("https://lh3.googleusercontent.com/u/0/d/1QzV22q-Nd88RmLQVslgIkfcspBfhEQPL")</f>
        <v/>
      </c>
      <c r="B294" s="5" t="s">
        <v>206</v>
      </c>
      <c r="C294" s="5"/>
      <c r="D294" s="6"/>
      <c r="E294" s="7"/>
      <c r="F294" s="7" t="s">
        <v>131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12.5" customHeight="1">
      <c r="A295" s="10" t="str">
        <f>IMAGE("https://lh3.googleusercontent.com/u/0/d/1KQq0-x-HNLZKXAyyhKQs6gtDRDpOyWFe")</f>
        <v/>
      </c>
      <c r="B295" s="5" t="s">
        <v>207</v>
      </c>
      <c r="C295" s="5"/>
      <c r="D295" s="6"/>
      <c r="E295" s="7"/>
      <c r="F295" s="7" t="s">
        <v>131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12.5" customHeight="1">
      <c r="A296" s="10" t="str">
        <f>IMAGE("https://lh3.googleusercontent.com/u/0/d/1nnZ7tFhFlCgf8O9Upv_PI67lwNR7mxGx")</f>
        <v/>
      </c>
      <c r="B296" s="5" t="s">
        <v>208</v>
      </c>
      <c r="C296" s="5"/>
      <c r="D296" s="6"/>
      <c r="E296" s="7"/>
      <c r="F296" s="7" t="s">
        <v>131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12.5" customHeight="1">
      <c r="A297" s="10" t="str">
        <f>IMAGE("https://lh3.googleusercontent.com/u/0/d/1EY_9C2Rttkt5WBqfH8XQLwvdXnhZFHnz")</f>
        <v/>
      </c>
      <c r="B297" s="5" t="s">
        <v>209</v>
      </c>
      <c r="C297" s="5"/>
      <c r="D297" s="6"/>
      <c r="E297" s="7"/>
      <c r="F297" s="7" t="s">
        <v>131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12.5" customHeight="1">
      <c r="A298" s="10" t="str">
        <f>IMAGE("https://lh3.googleusercontent.com/u/0/d/1h0lX-7cMu6j2COh53SfkCAShTkW1Hj6e")</f>
        <v/>
      </c>
      <c r="B298" s="5" t="s">
        <v>210</v>
      </c>
      <c r="C298" s="5"/>
      <c r="D298" s="6"/>
      <c r="E298" s="7"/>
      <c r="F298" s="7" t="s">
        <v>131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12.5" customHeight="1">
      <c r="A299" s="10" t="str">
        <f>IMAGE("https://lh3.googleusercontent.com/u/0/d/1dRcKkZMnopBghteydfBlyyxW1Fz65lAd")</f>
        <v/>
      </c>
      <c r="B299" s="5" t="s">
        <v>211</v>
      </c>
      <c r="C299" s="5"/>
      <c r="D299" s="6"/>
      <c r="E299" s="7"/>
      <c r="F299" s="7" t="s">
        <v>131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12.5" customHeight="1">
      <c r="A300" s="10" t="str">
        <f>IMAGE("https://lh3.googleusercontent.com/u/0/d/1HOL8DZHxnh2AdxnJVGMP9WmGx5DOz_Kb")</f>
        <v/>
      </c>
      <c r="B300" s="5" t="s">
        <v>212</v>
      </c>
      <c r="C300" s="5"/>
      <c r="D300" s="6"/>
      <c r="E300" s="7"/>
      <c r="F300" s="7" t="s">
        <v>131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12.5" customHeight="1">
      <c r="A301" s="10" t="str">
        <f>IMAGE("https://lh3.googleusercontent.com/u/0/d/1p3Rej1t0M6nFxtxsgYaOTJwT2k5rJQjd")</f>
        <v/>
      </c>
      <c r="B301" s="5" t="s">
        <v>213</v>
      </c>
      <c r="C301" s="5"/>
      <c r="D301" s="6"/>
      <c r="E301" s="7"/>
      <c r="F301" s="7" t="s">
        <v>131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12.5" customHeight="1">
      <c r="A302" s="10" t="str">
        <f>IMAGE("https://lh3.googleusercontent.com/u/0/d/1hXDGnu-EwCxJmC27IsGKRGuDOFB-3rX8")</f>
        <v/>
      </c>
      <c r="B302" s="5" t="s">
        <v>214</v>
      </c>
      <c r="C302" s="5"/>
      <c r="D302" s="6"/>
      <c r="E302" s="7"/>
      <c r="F302" s="7" t="s">
        <v>131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12.5" customHeight="1">
      <c r="A303" s="10" t="str">
        <f>IMAGE("https://lh3.googleusercontent.com/u/0/d/1DTbL3JN0E5yr92hXCVsUD7D-YgbDbfI6")</f>
        <v/>
      </c>
      <c r="B303" s="5" t="s">
        <v>215</v>
      </c>
      <c r="C303" s="5"/>
      <c r="D303" s="6"/>
      <c r="E303" s="7"/>
      <c r="F303" s="7" t="s">
        <v>131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12.5" customHeight="1">
      <c r="A304" s="10" t="str">
        <f>IMAGE("https://lh3.googleusercontent.com/u/0/d/1yB3frQ2eXxhwMBT11TVDQWKqRyBiKOQU")</f>
        <v/>
      </c>
      <c r="B304" s="5" t="s">
        <v>216</v>
      </c>
      <c r="C304" s="5"/>
      <c r="D304" s="6"/>
      <c r="E304" s="7"/>
      <c r="F304" s="7" t="s">
        <v>131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12.5" customHeight="1">
      <c r="A305" s="10" t="str">
        <f>IMAGE("https://lh3.googleusercontent.com/u/0/d/1pp2blRwPF9sR-4SJH_NjpPjzNBs_Ooax")</f>
        <v/>
      </c>
      <c r="B305" s="5" t="s">
        <v>217</v>
      </c>
      <c r="C305" s="5"/>
      <c r="D305" s="6"/>
      <c r="E305" s="7"/>
      <c r="F305" s="7" t="s">
        <v>131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12.5" customHeight="1">
      <c r="A306" s="10" t="str">
        <f>IMAGE("https://lh3.googleusercontent.com/u/0/d/1iglq73QkmGtbZAKSGFreot4zDZL_CeD2")</f>
        <v/>
      </c>
      <c r="B306" s="5" t="s">
        <v>218</v>
      </c>
      <c r="C306" s="5"/>
      <c r="D306" s="6"/>
      <c r="E306" s="7"/>
      <c r="F306" s="7" t="s">
        <v>131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12.5" customHeight="1">
      <c r="A307" s="10" t="str">
        <f>IMAGE("https://lh3.googleusercontent.com/u/0/d/1juB8pGyptDuI7NSRLm36XW4obk_4YIsV")</f>
        <v/>
      </c>
      <c r="B307" s="5" t="s">
        <v>219</v>
      </c>
      <c r="C307" s="5"/>
      <c r="D307" s="6"/>
      <c r="E307" s="7"/>
      <c r="F307" s="7" t="s">
        <v>131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12.5" customHeight="1">
      <c r="A308" s="10" t="str">
        <f>IMAGE("https://lh3.googleusercontent.com/u/0/d/1iv5a-SLWxJUr3YCuwg64tEW2DpiRl8Dx")</f>
        <v/>
      </c>
      <c r="B308" s="5" t="s">
        <v>220</v>
      </c>
      <c r="C308" s="5"/>
      <c r="D308" s="6"/>
      <c r="E308" s="7"/>
      <c r="F308" s="7" t="s">
        <v>131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12.5" customHeight="1">
      <c r="A309" s="10" t="str">
        <f>IMAGE("https://lh3.googleusercontent.com/u/0/d/1JkoWwC1E-YDXuzD_3DceTM55FSE_soDP")</f>
        <v/>
      </c>
      <c r="B309" s="5" t="s">
        <v>221</v>
      </c>
      <c r="C309" s="5"/>
      <c r="D309" s="6"/>
      <c r="E309" s="7"/>
      <c r="F309" s="7" t="s">
        <v>131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12.5" customHeight="1">
      <c r="A310" s="10" t="str">
        <f>IMAGE("https://lh3.googleusercontent.com/u/0/d/1ad10A40VRQpRltdc347tmNAoX6Ocb1JZ")</f>
        <v/>
      </c>
      <c r="B310" s="5" t="s">
        <v>222</v>
      </c>
      <c r="C310" s="5"/>
      <c r="D310" s="6"/>
      <c r="E310" s="7"/>
      <c r="F310" s="7" t="s">
        <v>131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12.5" customHeight="1">
      <c r="A311" s="10" t="str">
        <f>IMAGE("https://lh3.googleusercontent.com/u/0/d/1OCB52jl9juvLLgcsRr5aiqQ5bvyTCzHU")</f>
        <v/>
      </c>
      <c r="B311" s="5" t="s">
        <v>223</v>
      </c>
      <c r="C311" s="5"/>
      <c r="D311" s="6"/>
      <c r="E311" s="7"/>
      <c r="F311" s="7" t="s">
        <v>131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12.5" customHeight="1">
      <c r="A312" s="10" t="str">
        <f>IMAGE("https://lh3.googleusercontent.com/u/0/d/1_-8oZAPdDSzd2mmOqaBzqqH9h-44FBLG")</f>
        <v/>
      </c>
      <c r="B312" s="5" t="s">
        <v>224</v>
      </c>
      <c r="C312" s="5"/>
      <c r="D312" s="6"/>
      <c r="E312" s="7"/>
      <c r="F312" s="7" t="s">
        <v>131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12.5" customHeight="1">
      <c r="A313" s="10" t="str">
        <f>IMAGE("https://lh3.googleusercontent.com/u/0/d/1Umy5TJBxOXKdfVG0akU1knTp3O4f24zH")</f>
        <v/>
      </c>
      <c r="B313" s="5" t="s">
        <v>225</v>
      </c>
      <c r="C313" s="5"/>
      <c r="D313" s="6"/>
      <c r="E313" s="7"/>
      <c r="F313" s="7" t="s">
        <v>131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12.5" customHeight="1">
      <c r="A314" s="10" t="str">
        <f>IMAGE("https://lh3.googleusercontent.com/u/0/d/15GRYWSWTXwDBY2eyg_Mjpc16f4WauKFC")</f>
        <v/>
      </c>
      <c r="B314" s="5" t="s">
        <v>226</v>
      </c>
      <c r="C314" s="5"/>
      <c r="D314" s="6"/>
      <c r="E314" s="7"/>
      <c r="F314" s="7" t="s">
        <v>131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12.5" customHeight="1">
      <c r="A315" s="10" t="str">
        <f>IMAGE("https://lh3.googleusercontent.com/u/0/d/1jly-yeptV8mzUJld8n5CzJ6ePP0wZijK")</f>
        <v/>
      </c>
      <c r="B315" s="5" t="s">
        <v>227</v>
      </c>
      <c r="C315" s="5"/>
      <c r="D315" s="6"/>
      <c r="E315" s="7"/>
      <c r="F315" s="7" t="s">
        <v>131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12.5" customHeight="1">
      <c r="A316" s="10" t="str">
        <f>IMAGE("https://lh3.googleusercontent.com/u/0/d/1f7vccmWNzciTAHvYmO65EvurJLFnAM5m")</f>
        <v/>
      </c>
      <c r="B316" s="5" t="s">
        <v>228</v>
      </c>
      <c r="C316" s="5"/>
      <c r="D316" s="6"/>
      <c r="E316" s="7"/>
      <c r="F316" s="7" t="s">
        <v>131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12.5" customHeight="1">
      <c r="A317" s="10" t="str">
        <f>IMAGE("https://lh3.googleusercontent.com/u/0/d/1ArrvF1c9oy7Md-xMYYKYwAdny7askhBD")</f>
        <v/>
      </c>
      <c r="B317" s="5" t="s">
        <v>229</v>
      </c>
      <c r="C317" s="5"/>
      <c r="D317" s="6"/>
      <c r="E317" s="7"/>
      <c r="F317" s="7" t="s">
        <v>131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12.5" customHeight="1">
      <c r="A318" s="10" t="str">
        <f>IMAGE("https://lh3.googleusercontent.com/u/0/d/1bonrRB-URVx2mXAdd4BCNLfOD8b5oIsG")</f>
        <v/>
      </c>
      <c r="B318" s="5" t="s">
        <v>230</v>
      </c>
      <c r="C318" s="5"/>
      <c r="D318" s="6"/>
      <c r="E318" s="7"/>
      <c r="F318" s="7" t="s">
        <v>131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12.5" customHeight="1">
      <c r="A319" s="10" t="str">
        <f>IMAGE("https://lh3.googleusercontent.com/u/0/d/1kbxO4PQfF5VQt2jfo265LoqnAENQLdCh")</f>
        <v/>
      </c>
      <c r="B319" s="5" t="s">
        <v>231</v>
      </c>
      <c r="C319" s="5"/>
      <c r="D319" s="6"/>
      <c r="E319" s="7"/>
      <c r="F319" s="7" t="s">
        <v>131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12.5" customHeight="1">
      <c r="A320" s="10" t="str">
        <f>IMAGE("https://lh3.googleusercontent.com/u/0/d/1RfXlXnlKXbguob8e9cvyIwZ6iayAUkGp")</f>
        <v/>
      </c>
      <c r="B320" s="5" t="s">
        <v>232</v>
      </c>
      <c r="C320" s="5"/>
      <c r="D320" s="6"/>
      <c r="E320" s="7"/>
      <c r="F320" s="7" t="s">
        <v>131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12.5" customHeight="1">
      <c r="A321" s="10" t="str">
        <f>IMAGE("https://lh3.googleusercontent.com/u/0/d/1Vv4S8EFjNI-iWuaToTlLTzL41ea5bFtB")</f>
        <v/>
      </c>
      <c r="B321" s="5" t="s">
        <v>233</v>
      </c>
      <c r="C321" s="5"/>
      <c r="D321" s="6"/>
      <c r="E321" s="7"/>
      <c r="F321" s="7" t="s">
        <v>131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12.5" customHeight="1">
      <c r="A322" s="10" t="str">
        <f>IMAGE("https://lh3.googleusercontent.com/u/0/d/1ybDZg73UcOmUIXPZ9MzcuRnFuWbnw-jX")</f>
        <v/>
      </c>
      <c r="B322" s="5" t="s">
        <v>234</v>
      </c>
      <c r="C322" s="5"/>
      <c r="D322" s="6"/>
      <c r="E322" s="7"/>
      <c r="F322" s="7" t="s">
        <v>131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12.5" customHeight="1">
      <c r="A323" s="10" t="str">
        <f>IMAGE("https://lh3.googleusercontent.com/u/0/d/1ZNFyZiR4LI-Agpn1BojK4ehRTwlr8-yR")</f>
        <v/>
      </c>
      <c r="B323" s="5" t="s">
        <v>235</v>
      </c>
      <c r="C323" s="5"/>
      <c r="D323" s="6"/>
      <c r="E323" s="7"/>
      <c r="F323" s="7" t="s">
        <v>131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12.5" customHeight="1">
      <c r="A324" s="10" t="str">
        <f>IMAGE("https://lh3.googleusercontent.com/u/0/d/1HFXszQ2Ex9Rt2rrc6q-VGZY7IK54Zwj3")</f>
        <v/>
      </c>
      <c r="B324" s="5" t="s">
        <v>236</v>
      </c>
      <c r="C324" s="5"/>
      <c r="D324" s="6"/>
      <c r="E324" s="7"/>
      <c r="F324" s="7" t="s">
        <v>131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12.5" customHeight="1">
      <c r="A325" s="10" t="str">
        <f>IMAGE("https://lh3.googleusercontent.com/u/0/d/1pqVcXPUGQ3zyNCCRW3V3UKFQlybmHPJI")</f>
        <v/>
      </c>
      <c r="B325" s="5" t="s">
        <v>237</v>
      </c>
      <c r="C325" s="5"/>
      <c r="D325" s="6"/>
      <c r="E325" s="7"/>
      <c r="F325" s="7" t="s">
        <v>131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12.5" customHeight="1">
      <c r="A326" s="10" t="str">
        <f>IMAGE("https://lh3.googleusercontent.com/u/0/d/1JJXVWLfxWAbxq_-ddZIfFGy2G1ovzGj0")</f>
        <v/>
      </c>
      <c r="B326" s="5" t="s">
        <v>238</v>
      </c>
      <c r="C326" s="5"/>
      <c r="D326" s="6"/>
      <c r="E326" s="7"/>
      <c r="F326" s="7" t="s">
        <v>131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12.5" customHeight="1">
      <c r="A327" s="10" t="str">
        <f>IMAGE("https://lh3.googleusercontent.com/u/0/d/1mJ0OBCW1zwk9SRQO261Eyk9xt_BJQuFk")</f>
        <v/>
      </c>
      <c r="B327" s="5" t="s">
        <v>239</v>
      </c>
      <c r="C327" s="5"/>
      <c r="D327" s="6"/>
      <c r="E327" s="7"/>
      <c r="F327" s="7" t="s">
        <v>131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12.5" customHeight="1">
      <c r="A328" s="10" t="str">
        <f>IMAGE("https://lh3.googleusercontent.com/u/0/d/18xGY1WWdVeW_AaY6WChN3lLmg4BD1K-M")</f>
        <v/>
      </c>
      <c r="B328" s="5" t="s">
        <v>240</v>
      </c>
      <c r="C328" s="5"/>
      <c r="D328" s="6"/>
      <c r="E328" s="7"/>
      <c r="F328" s="7" t="s">
        <v>131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12.5" customHeight="1">
      <c r="A329" s="10" t="str">
        <f>IMAGE("https://lh3.googleusercontent.com/u/0/d/1aA2qPZkqKElvmPdBwhyT2wKK8S2CgxWy")</f>
        <v/>
      </c>
      <c r="B329" s="5" t="s">
        <v>241</v>
      </c>
      <c r="C329" s="5"/>
      <c r="D329" s="6"/>
      <c r="E329" s="7"/>
      <c r="F329" s="7" t="s">
        <v>131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12.5" customHeight="1">
      <c r="A330" s="10" t="str">
        <f>IMAGE("https://lh3.googleusercontent.com/u/0/d/1DEWdDGk3HnSbSV_mfMYXBCyLBaMByE8_")</f>
        <v/>
      </c>
      <c r="B330" s="5" t="s">
        <v>242</v>
      </c>
      <c r="C330" s="5"/>
      <c r="D330" s="6"/>
      <c r="E330" s="7"/>
      <c r="F330" s="7" t="s">
        <v>131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12.5" customHeight="1">
      <c r="A331" s="10" t="str">
        <f>IMAGE("https://lh3.googleusercontent.com/u/0/d/1HodihCukRVwOvCdWkS78J9sExNa0cZlp")</f>
        <v/>
      </c>
      <c r="B331" s="5" t="s">
        <v>243</v>
      </c>
      <c r="C331" s="5"/>
      <c r="D331" s="6"/>
      <c r="E331" s="7"/>
      <c r="F331" s="7" t="s">
        <v>131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12.5" customHeight="1">
      <c r="A332" s="10" t="str">
        <f>IMAGE("https://lh3.googleusercontent.com/u/0/d/1RarU01xqsrBrI59W2Ayx0O9f09gsjVEc")</f>
        <v/>
      </c>
      <c r="B332" s="5" t="s">
        <v>244</v>
      </c>
      <c r="C332" s="5"/>
      <c r="D332" s="6"/>
      <c r="E332" s="7"/>
      <c r="F332" s="7" t="s">
        <v>131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12.5" customHeight="1">
      <c r="A333" s="10" t="str">
        <f>IMAGE("https://lh3.googleusercontent.com/u/0/d/1uUshnm7Hrli4GvZ57yh-wLSSadL3gCl_")</f>
        <v/>
      </c>
      <c r="B333" s="5" t="s">
        <v>245</v>
      </c>
      <c r="C333" s="5"/>
      <c r="D333" s="6"/>
      <c r="E333" s="7"/>
      <c r="F333" s="7" t="s">
        <v>131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12.5" customHeight="1">
      <c r="A334" s="10" t="str">
        <f>IMAGE("https://lh3.googleusercontent.com/u/0/d/1OxsJNlMRSrkQuv6G-oYjDP7dzkvp_51s")</f>
        <v/>
      </c>
      <c r="B334" s="5" t="s">
        <v>246</v>
      </c>
      <c r="C334" s="5"/>
      <c r="D334" s="6"/>
      <c r="E334" s="7"/>
      <c r="F334" s="7" t="s">
        <v>131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12.5" customHeight="1">
      <c r="A335" s="10" t="str">
        <f>IMAGE("https://lh3.googleusercontent.com/u/0/d/1FcWQE2LrdtI1ILfIzx1oPCdwMLfdXEF0")</f>
        <v/>
      </c>
      <c r="B335" s="5" t="s">
        <v>247</v>
      </c>
      <c r="C335" s="5"/>
      <c r="D335" s="6"/>
      <c r="E335" s="7"/>
      <c r="F335" s="7" t="s">
        <v>131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12.5" customHeight="1">
      <c r="A336" s="10" t="str">
        <f>IMAGE("https://lh3.googleusercontent.com/u/0/d/1079t5SfBj9d7dTw_p4MBM6S7QYdCYKyH")</f>
        <v/>
      </c>
      <c r="B336" s="5" t="s">
        <v>248</v>
      </c>
      <c r="C336" s="5"/>
      <c r="D336" s="6"/>
      <c r="E336" s="7"/>
      <c r="F336" s="7" t="s">
        <v>131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12.5" customHeight="1">
      <c r="A337" s="10" t="str">
        <f>IMAGE("https://lh3.googleusercontent.com/u/0/d/1oRruAfPH2XJBTJ9xiPW0XAmWY57SbSlO")</f>
        <v/>
      </c>
      <c r="B337" s="5" t="s">
        <v>249</v>
      </c>
      <c r="C337" s="5"/>
      <c r="D337" s="6"/>
      <c r="E337" s="7"/>
      <c r="F337" s="7" t="s">
        <v>131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12.5" customHeight="1">
      <c r="A338" s="10" t="str">
        <f>IMAGE("https://lh3.googleusercontent.com/u/0/d/1vcpbGgBwwf-x1ej6R-Xxz35S86Cr0Jsj")</f>
        <v/>
      </c>
      <c r="B338" s="5" t="s">
        <v>250</v>
      </c>
      <c r="C338" s="5"/>
      <c r="D338" s="6"/>
      <c r="E338" s="7"/>
      <c r="F338" s="7" t="s">
        <v>131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12.5" customHeight="1">
      <c r="A339" s="10" t="str">
        <f>IMAGE("https://lh3.googleusercontent.com/u/0/d/1ATakggg2TN_jB3nt_2k5mbyYJw9ByGQt")</f>
        <v/>
      </c>
      <c r="B339" s="5" t="s">
        <v>251</v>
      </c>
      <c r="C339" s="5"/>
      <c r="D339" s="6"/>
      <c r="E339" s="7"/>
      <c r="F339" s="7" t="s">
        <v>131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12.5" customHeight="1">
      <c r="A340" s="10" t="str">
        <f>IMAGE("https://lh3.googleusercontent.com/u/0/d/1-8kcCCuOXr7Z-WSagE6I5nuPyww9wt8a")</f>
        <v/>
      </c>
      <c r="B340" s="5" t="s">
        <v>252</v>
      </c>
      <c r="C340" s="5"/>
      <c r="D340" s="6"/>
      <c r="E340" s="7"/>
      <c r="F340" s="7" t="s">
        <v>131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12.5" customHeight="1">
      <c r="A341" s="10" t="str">
        <f>IMAGE("https://lh3.googleusercontent.com/u/0/d/17v_Qz5afG6Kg9vQD3uUEAkjTB6ZyCqQw")</f>
        <v/>
      </c>
      <c r="B341" s="5" t="s">
        <v>253</v>
      </c>
      <c r="C341" s="5"/>
      <c r="D341" s="6"/>
      <c r="E341" s="7"/>
      <c r="F341" s="7" t="s">
        <v>131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12.5" customHeight="1">
      <c r="A342" s="10" t="str">
        <f>IMAGE("https://lh3.googleusercontent.com/u/0/d/1yN6m9ldu-1hSVcccukEHCLiCiMVugNKw")</f>
        <v/>
      </c>
      <c r="B342" s="5" t="s">
        <v>254</v>
      </c>
      <c r="C342" s="5"/>
      <c r="D342" s="6"/>
      <c r="E342" s="7"/>
      <c r="F342" s="7" t="s">
        <v>131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12.5" customHeight="1">
      <c r="A343" s="10" t="str">
        <f>IMAGE("https://lh3.googleusercontent.com/u/0/d/1R243J1n5Loot3I3TsGdUGzUfswXXQWmc")</f>
        <v/>
      </c>
      <c r="B343" s="5" t="s">
        <v>255</v>
      </c>
      <c r="C343" s="5"/>
      <c r="D343" s="6"/>
      <c r="E343" s="7"/>
      <c r="F343" s="7" t="s">
        <v>131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12.5" customHeight="1">
      <c r="A344" s="10" t="str">
        <f>IMAGE("https://lh3.googleusercontent.com/u/0/d/11CzYT4wjwjaKeX29X3OxtTauHhBuyPIj")</f>
        <v/>
      </c>
      <c r="B344" s="5" t="s">
        <v>256</v>
      </c>
      <c r="C344" s="5"/>
      <c r="D344" s="6"/>
      <c r="E344" s="7"/>
      <c r="F344" s="7" t="s">
        <v>131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12.5" customHeight="1">
      <c r="A345" s="10" t="str">
        <f>IMAGE("https://lh3.googleusercontent.com/u/0/d/12QZVsuaDMnIzN5b2DAzA-7QBEjh6SRi7")</f>
        <v/>
      </c>
      <c r="B345" s="5" t="s">
        <v>257</v>
      </c>
      <c r="C345" s="5"/>
      <c r="D345" s="6"/>
      <c r="E345" s="7"/>
      <c r="F345" s="7" t="s">
        <v>131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12.5" customHeight="1">
      <c r="A346" s="10" t="str">
        <f>IMAGE("https://lh3.googleusercontent.com/u/0/d/1N9CC33VBkyM3ycI9bdfB9OMQhI0IwfSv")</f>
        <v/>
      </c>
      <c r="B346" s="5" t="s">
        <v>258</v>
      </c>
      <c r="C346" s="5"/>
      <c r="D346" s="6"/>
      <c r="E346" s="7"/>
      <c r="F346" s="7" t="s">
        <v>131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12.5" customHeight="1">
      <c r="A347" s="10" t="str">
        <f>IMAGE("https://lh3.googleusercontent.com/u/0/d/1rxArNvV9yTRfp0AAlOAhS_Z32yTZIKhv")</f>
        <v/>
      </c>
      <c r="B347" s="5" t="s">
        <v>259</v>
      </c>
      <c r="C347" s="5"/>
      <c r="D347" s="6"/>
      <c r="E347" s="7"/>
      <c r="F347" s="7" t="s">
        <v>131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12.5" customHeight="1">
      <c r="A348" s="10" t="str">
        <f>IMAGE("https://lh3.googleusercontent.com/u/0/d/1ZB9OuCBT0lEe-Qwl6zCJp-oJG56v_Kj-")</f>
        <v/>
      </c>
      <c r="B348" s="5" t="s">
        <v>260</v>
      </c>
      <c r="C348" s="5"/>
      <c r="D348" s="6"/>
      <c r="E348" s="7"/>
      <c r="F348" s="7" t="s">
        <v>131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12.5" customHeight="1">
      <c r="A349" s="10" t="str">
        <f>IMAGE("https://lh3.googleusercontent.com/u/0/d/1zclsiHhZdQG8TfVYV-qpssXP0zj5pVSN")</f>
        <v/>
      </c>
      <c r="B349" s="5" t="s">
        <v>261</v>
      </c>
      <c r="C349" s="5"/>
      <c r="D349" s="6"/>
      <c r="E349" s="7"/>
      <c r="F349" s="7" t="s">
        <v>131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12.5" customHeight="1">
      <c r="A350" s="10" t="str">
        <f>IMAGE("https://lh3.googleusercontent.com/u/0/d/1FFxkbR1HVvaSeUtG1QD_lC7D6TpnxlRg")</f>
        <v/>
      </c>
      <c r="B350" s="5" t="s">
        <v>262</v>
      </c>
      <c r="C350" s="5"/>
      <c r="D350" s="6"/>
      <c r="E350" s="7"/>
      <c r="F350" s="7" t="s">
        <v>131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12.5" customHeight="1">
      <c r="A351" s="10" t="str">
        <f>IMAGE("https://lh3.googleusercontent.com/u/0/d/1BD_1lI9CbfLUi_ug0GoHiwqrkD0aZVsW")</f>
        <v/>
      </c>
      <c r="B351" s="5" t="s">
        <v>263</v>
      </c>
      <c r="C351" s="5"/>
      <c r="D351" s="6"/>
      <c r="E351" s="7"/>
      <c r="F351" s="7" t="s">
        <v>131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12.5" customHeight="1">
      <c r="A352" s="10" t="str">
        <f>IMAGE("https://lh3.googleusercontent.com/u/0/d/1j4Hvg7kZN8Duv3MQ0-uwXFvuo1_Z8Wqo")</f>
        <v/>
      </c>
      <c r="B352" s="5" t="s">
        <v>264</v>
      </c>
      <c r="C352" s="5"/>
      <c r="D352" s="6"/>
      <c r="E352" s="7"/>
      <c r="F352" s="7" t="s">
        <v>131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12.5" customHeight="1">
      <c r="A353" s="10" t="str">
        <f>IMAGE("https://lh3.googleusercontent.com/u/0/d/12H0_yHjItHhsihde5JYRsfvBRl55uD87")</f>
        <v/>
      </c>
      <c r="B353" s="5" t="s">
        <v>265</v>
      </c>
      <c r="C353" s="5"/>
      <c r="D353" s="6"/>
      <c r="E353" s="7"/>
      <c r="F353" s="7" t="s">
        <v>131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12.5" customHeight="1">
      <c r="A354" s="10" t="str">
        <f>IMAGE("https://lh3.googleusercontent.com/u/0/d/1GjglrcZaSwIZTQfjINJYVXWe0tpU41wN")</f>
        <v/>
      </c>
      <c r="B354" s="5" t="s">
        <v>266</v>
      </c>
      <c r="C354" s="5"/>
      <c r="D354" s="6"/>
      <c r="E354" s="7"/>
      <c r="F354" s="7" t="s">
        <v>131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12.5" customHeight="1">
      <c r="A355" s="10" t="str">
        <f>IMAGE("https://lh3.googleusercontent.com/u/0/d/1Lj43fzaK4_CJkV11CXiKk_EkHvaNgl3R")</f>
        <v/>
      </c>
      <c r="B355" s="5" t="s">
        <v>267</v>
      </c>
      <c r="C355" s="5"/>
      <c r="D355" s="6"/>
      <c r="E355" s="7"/>
      <c r="F355" s="7" t="s">
        <v>131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12.5" customHeight="1">
      <c r="A356" s="10" t="str">
        <f>IMAGE("https://lh3.googleusercontent.com/u/0/d/1Fbf8tq537pw1x6ZxBYhmRIP9hJqngvVA")</f>
        <v/>
      </c>
      <c r="B356" s="5" t="s">
        <v>268</v>
      </c>
      <c r="C356" s="5"/>
      <c r="D356" s="6"/>
      <c r="E356" s="7"/>
      <c r="F356" s="7" t="s">
        <v>131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12.5" customHeight="1">
      <c r="A357" s="10" t="str">
        <f>IMAGE("https://lh3.googleusercontent.com/u/0/d/1LH0U8rs0Cx-8nHb5px-84WuJhYpqsxjg")</f>
        <v/>
      </c>
      <c r="B357" s="5" t="s">
        <v>269</v>
      </c>
      <c r="C357" s="5"/>
      <c r="D357" s="6"/>
      <c r="E357" s="7"/>
      <c r="F357" s="7" t="s">
        <v>131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12.5" customHeight="1">
      <c r="A358" s="10" t="str">
        <f>IMAGE("https://lh3.googleusercontent.com/u/0/d/1BylPvAARA4De6K_O99Wu3OKLbmRHZoD1")</f>
        <v/>
      </c>
      <c r="B358" s="5" t="s">
        <v>270</v>
      </c>
      <c r="C358" s="5"/>
      <c r="D358" s="6"/>
      <c r="E358" s="7"/>
      <c r="F358" s="7" t="s">
        <v>131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12.5" customHeight="1">
      <c r="A359" s="10" t="str">
        <f>IMAGE("https://lh3.googleusercontent.com/u/0/d/1i4hnO8z9IxeOdTjJtQUkq_wr0xtR5yDO")</f>
        <v/>
      </c>
      <c r="B359" s="5" t="s">
        <v>271</v>
      </c>
      <c r="C359" s="5"/>
      <c r="D359" s="6"/>
      <c r="E359" s="7"/>
      <c r="F359" s="7" t="s">
        <v>131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12.5" customHeight="1">
      <c r="A360" s="10" t="str">
        <f>IMAGE("https://lh3.googleusercontent.com/u/0/d/1Tez6SQ3T-Y-xjUHFOaW4tvP4wfsZD7UU")</f>
        <v/>
      </c>
      <c r="B360" s="5" t="s">
        <v>272</v>
      </c>
      <c r="C360" s="5"/>
      <c r="D360" s="6"/>
      <c r="E360" s="7"/>
      <c r="F360" s="7" t="s">
        <v>131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12.5" customHeight="1">
      <c r="A361" s="10" t="str">
        <f>IMAGE("https://lh3.googleusercontent.com/u/0/d/1zfMS-Mp7Y-MzNKR3Zqvw7BFSVE5EsY2v")</f>
        <v/>
      </c>
      <c r="B361" s="5" t="s">
        <v>273</v>
      </c>
      <c r="C361" s="5"/>
      <c r="D361" s="6"/>
      <c r="E361" s="7"/>
      <c r="F361" s="7" t="s">
        <v>131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12.5" customHeight="1">
      <c r="A362" s="10" t="str">
        <f>IMAGE("https://lh3.googleusercontent.com/u/0/d/10ZKOQckbN4KSqQo9JnfPl68O_XBpL08Y")</f>
        <v/>
      </c>
      <c r="B362" s="5" t="s">
        <v>274</v>
      </c>
      <c r="C362" s="5"/>
      <c r="D362" s="6"/>
      <c r="E362" s="7"/>
      <c r="F362" s="7" t="s">
        <v>131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12.5" customHeight="1">
      <c r="A363" s="10" t="str">
        <f>IMAGE("https://lh3.googleusercontent.com/u/0/d/1DiEetw3J_nJTeCtsELX7ChAeBUoTF1qY")</f>
        <v/>
      </c>
      <c r="B363" s="5" t="s">
        <v>275</v>
      </c>
      <c r="C363" s="5"/>
      <c r="D363" s="6"/>
      <c r="E363" s="7"/>
      <c r="F363" s="7" t="s">
        <v>131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12.5" customHeight="1">
      <c r="A364" s="10" t="str">
        <f>IMAGE("https://lh3.googleusercontent.com/u/0/d/1KvYSIWiQq137N0DeH0WgqqTlaEkC_VgO")</f>
        <v/>
      </c>
      <c r="B364" s="5" t="s">
        <v>276</v>
      </c>
      <c r="C364" s="5"/>
      <c r="D364" s="6"/>
      <c r="E364" s="7"/>
      <c r="F364" s="7" t="s">
        <v>131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12.5" customHeight="1">
      <c r="A365" s="10" t="str">
        <f>IMAGE("https://lh3.googleusercontent.com/u/0/d/1MC93Ls85wY9ZPKXE3Ar3JEh1ua1qriXJ")</f>
        <v/>
      </c>
      <c r="B365" s="5" t="s">
        <v>277</v>
      </c>
      <c r="C365" s="5"/>
      <c r="D365" s="6"/>
      <c r="E365" s="7"/>
      <c r="F365" s="7" t="s">
        <v>131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12.5" customHeight="1">
      <c r="A366" s="10" t="str">
        <f>IMAGE("https://lh3.googleusercontent.com/u/0/d/1rRsIq_31SMC5h3L0QYfPO3m7RvMf_M--")</f>
        <v/>
      </c>
      <c r="B366" s="5" t="s">
        <v>278</v>
      </c>
      <c r="C366" s="5"/>
      <c r="D366" s="6"/>
      <c r="E366" s="7"/>
      <c r="F366" s="7" t="s">
        <v>131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12.5" customHeight="1">
      <c r="A367" s="10" t="str">
        <f>IMAGE("https://lh3.googleusercontent.com/u/0/d/1oE13wM_LG_0aZSiI1MgM_J0uhosWoaqm")</f>
        <v/>
      </c>
      <c r="B367" s="5" t="s">
        <v>279</v>
      </c>
      <c r="C367" s="5"/>
      <c r="D367" s="6"/>
      <c r="E367" s="7"/>
      <c r="F367" s="7" t="s">
        <v>131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12.5" customHeight="1">
      <c r="A368" s="10" t="str">
        <f>IMAGE("https://lh3.googleusercontent.com/u/0/d/1_LE2gackDsYiu8qy3iZldxqR0mdRhkTK")</f>
        <v/>
      </c>
      <c r="B368" s="5" t="s">
        <v>280</v>
      </c>
      <c r="C368" s="5"/>
      <c r="D368" s="6"/>
      <c r="E368" s="7"/>
      <c r="F368" s="7" t="s">
        <v>131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12.5" customHeight="1">
      <c r="A369" s="10" t="str">
        <f>IMAGE("https://lh3.googleusercontent.com/u/0/d/11bsRBk8eH9qBq3yIH4HsI9-7Q7BJIaKG")</f>
        <v/>
      </c>
      <c r="B369" s="5" t="s">
        <v>281</v>
      </c>
      <c r="C369" s="5"/>
      <c r="D369" s="6"/>
      <c r="E369" s="7"/>
      <c r="F369" s="7" t="s">
        <v>131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12.5" customHeight="1">
      <c r="A370" s="10" t="str">
        <f>IMAGE("https://lh3.googleusercontent.com/u/0/d/1b2IKCSON-NLOtDiZPqWVjrUIDRzLunaY")</f>
        <v/>
      </c>
      <c r="B370" s="5" t="s">
        <v>282</v>
      </c>
      <c r="C370" s="5"/>
      <c r="D370" s="6"/>
      <c r="E370" s="7"/>
      <c r="F370" s="7" t="s">
        <v>131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12.5" customHeight="1">
      <c r="A371" s="10" t="str">
        <f>IMAGE("https://lh3.googleusercontent.com/u/0/d/1l_mWHyWwBk8yKNFl-NyNMbdQTWkWe7SQ")</f>
        <v/>
      </c>
      <c r="B371" s="5" t="s">
        <v>283</v>
      </c>
      <c r="C371" s="5"/>
      <c r="D371" s="6"/>
      <c r="E371" s="7"/>
      <c r="F371" s="7" t="s">
        <v>131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12.5" customHeight="1">
      <c r="A372" s="10" t="str">
        <f>IMAGE("https://lh3.googleusercontent.com/u/0/d/1_8f_ANPSTglL-W91uEg2v3QSI9cZIg2r")</f>
        <v/>
      </c>
      <c r="B372" s="5" t="s">
        <v>284</v>
      </c>
      <c r="C372" s="5"/>
      <c r="D372" s="6"/>
      <c r="E372" s="7"/>
      <c r="F372" s="7" t="s">
        <v>131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12.5" customHeight="1">
      <c r="A373" s="10" t="str">
        <f>IMAGE("https://lh3.googleusercontent.com/u/0/d/1KBVh1byHkQtYrXG91xc7mZop3uJMKmru")</f>
        <v/>
      </c>
      <c r="B373" s="5" t="s">
        <v>285</v>
      </c>
      <c r="C373" s="5"/>
      <c r="D373" s="6"/>
      <c r="E373" s="7"/>
      <c r="F373" s="7" t="s">
        <v>131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12.5" customHeight="1">
      <c r="A374" s="10" t="str">
        <f>IMAGE("https://lh3.googleusercontent.com/u/0/d/1JIHug-wApieLewuGmVW9SPLNhpPMwuvS")</f>
        <v/>
      </c>
      <c r="B374" s="5" t="s">
        <v>286</v>
      </c>
      <c r="C374" s="5"/>
      <c r="D374" s="6"/>
      <c r="E374" s="7"/>
      <c r="F374" s="7" t="s">
        <v>131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12.5" customHeight="1">
      <c r="A375" s="10" t="str">
        <f>IMAGE("https://lh3.googleusercontent.com/u/0/d/1mrMVFj54M71wpyb1vemVlU54nEqXN-Af")</f>
        <v/>
      </c>
      <c r="B375" s="5" t="s">
        <v>287</v>
      </c>
      <c r="C375" s="5"/>
      <c r="D375" s="6"/>
      <c r="E375" s="7"/>
      <c r="F375" s="7" t="s">
        <v>131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12.5" customHeight="1">
      <c r="A376" s="10" t="str">
        <f>IMAGE("https://lh3.googleusercontent.com/u/0/d/1j_sdumGU5OgEdNkPpMWoRbUsSxLYDgrn")</f>
        <v/>
      </c>
      <c r="B376" s="5" t="s">
        <v>288</v>
      </c>
      <c r="C376" s="5"/>
      <c r="D376" s="6"/>
      <c r="E376" s="7"/>
      <c r="F376" s="7" t="s">
        <v>131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12.5" customHeight="1">
      <c r="A377" s="10" t="str">
        <f>IMAGE("https://lh3.googleusercontent.com/u/0/d/1Za86C6DHLhg-BqjcjluhevG58scMssnK")</f>
        <v/>
      </c>
      <c r="B377" s="5" t="s">
        <v>289</v>
      </c>
      <c r="C377" s="5"/>
      <c r="D377" s="6"/>
      <c r="E377" s="7"/>
      <c r="F377" s="7" t="s">
        <v>131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12.5" customHeight="1">
      <c r="A378" s="10" t="str">
        <f>IMAGE("https://lh3.googleusercontent.com/u/0/d/1rDt0GpFwdry34jCql4IPk1xqV3kNQDBp")</f>
        <v/>
      </c>
      <c r="B378" s="5" t="s">
        <v>290</v>
      </c>
      <c r="C378" s="5"/>
      <c r="D378" s="6"/>
      <c r="E378" s="7"/>
      <c r="F378" s="7" t="s">
        <v>131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12.5" customHeight="1">
      <c r="A379" s="10" t="str">
        <f>IMAGE("https://lh3.googleusercontent.com/u/0/d/1qZhy39TL4hLuXDe73yJX3zH99rLd12vt")</f>
        <v/>
      </c>
      <c r="B379" s="5" t="s">
        <v>291</v>
      </c>
      <c r="C379" s="5"/>
      <c r="D379" s="6"/>
      <c r="E379" s="7"/>
      <c r="F379" s="7" t="s">
        <v>131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12.5" customHeight="1">
      <c r="A380" s="10" t="str">
        <f>IMAGE("https://lh3.googleusercontent.com/u/0/d/1AgNDthLUc42nmS9LhxwsiucqSOVuCuVA")</f>
        <v/>
      </c>
      <c r="B380" s="5" t="s">
        <v>292</v>
      </c>
      <c r="C380" s="5"/>
      <c r="D380" s="6"/>
      <c r="E380" s="7"/>
      <c r="F380" s="7" t="s">
        <v>131</v>
      </c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12.5" customHeight="1">
      <c r="A381" s="10" t="str">
        <f>IMAGE("https://lh3.googleusercontent.com/u/0/d/1_wExrX2SiVhYUKxduCiqNMVuy7-Al9Z1")</f>
        <v/>
      </c>
      <c r="B381" s="5" t="s">
        <v>293</v>
      </c>
      <c r="C381" s="5"/>
      <c r="D381" s="6"/>
      <c r="E381" s="7"/>
      <c r="F381" s="7" t="s">
        <v>131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12.5" customHeight="1">
      <c r="A382" s="10" t="str">
        <f>IMAGE("https://lh3.googleusercontent.com/u/0/d/1ZnB1OmOolyvUzl5-v5maj5cxHSg2FjrE")</f>
        <v/>
      </c>
      <c r="B382" s="5" t="s">
        <v>294</v>
      </c>
      <c r="C382" s="5"/>
      <c r="D382" s="6"/>
      <c r="E382" s="7"/>
      <c r="F382" s="7" t="s">
        <v>131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12.5" customHeight="1">
      <c r="A383" s="10" t="str">
        <f>IMAGE("https://lh3.googleusercontent.com/u/0/d/15PkixAg1ThmgxXcIPuXhEP1kR7YcLH-_")</f>
        <v/>
      </c>
      <c r="B383" s="5" t="s">
        <v>295</v>
      </c>
      <c r="C383" s="5"/>
      <c r="D383" s="6"/>
      <c r="E383" s="7"/>
      <c r="F383" s="7" t="s">
        <v>131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12.5" customHeight="1">
      <c r="A384" s="10" t="str">
        <f>IMAGE("https://lh3.googleusercontent.com/u/0/d/1HGHVN0tnjjARhEBgkt31dbmf1a4_Ss08")</f>
        <v/>
      </c>
      <c r="B384" s="5" t="s">
        <v>296</v>
      </c>
      <c r="C384" s="5"/>
      <c r="D384" s="6"/>
      <c r="E384" s="7"/>
      <c r="F384" s="7" t="s">
        <v>131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12.5" customHeight="1">
      <c r="A385" s="10" t="str">
        <f>IMAGE("https://lh3.googleusercontent.com/u/0/d/1xm83pOWDLLv8W-u008NJo44PwWmgl11J")</f>
        <v/>
      </c>
      <c r="B385" s="5" t="s">
        <v>297</v>
      </c>
      <c r="C385" s="5"/>
      <c r="D385" s="6"/>
      <c r="E385" s="7"/>
      <c r="F385" s="7" t="s">
        <v>131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12.5" customHeight="1">
      <c r="A386" s="10" t="str">
        <f>IMAGE("https://lh3.googleusercontent.com/u/0/d/1uqZSwV5jFVgHIZomohuIjoBj36QU40NJ")</f>
        <v/>
      </c>
      <c r="B386" s="5" t="s">
        <v>298</v>
      </c>
      <c r="C386" s="5"/>
      <c r="D386" s="6"/>
      <c r="E386" s="7"/>
      <c r="F386" s="7" t="s">
        <v>131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12.5" customHeight="1">
      <c r="A387" s="10" t="str">
        <f>IMAGE("https://lh3.googleusercontent.com/u/0/d/1rd51W9XyR5XTnK2DjbBKoUu4ekLIRbTZ")</f>
        <v/>
      </c>
      <c r="B387" s="5" t="s">
        <v>299</v>
      </c>
      <c r="C387" s="5"/>
      <c r="D387" s="6"/>
      <c r="E387" s="7"/>
      <c r="F387" s="7" t="s">
        <v>131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12.5" customHeight="1">
      <c r="A388" s="10" t="str">
        <f>IMAGE("https://lh3.googleusercontent.com/u/0/d/1aBwFhp7HdLp3shL52cWfiM_yW1z6MBrn")</f>
        <v/>
      </c>
      <c r="B388" s="5" t="s">
        <v>300</v>
      </c>
      <c r="C388" s="5"/>
      <c r="D388" s="6"/>
      <c r="E388" s="9"/>
      <c r="F388" s="7" t="s">
        <v>131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12.5" customHeight="1">
      <c r="A389" s="8" t="str">
        <f>IMAGE("https://lh3.googleusercontent.com/u/0/d/17b_HyAEpSDZMwrKg6pqxY_Zp5NpHpM2m")</f>
        <v/>
      </c>
      <c r="B389" s="7" t="s">
        <v>301</v>
      </c>
      <c r="C389" s="7"/>
      <c r="D389" s="8"/>
      <c r="E389" s="9"/>
      <c r="F389" s="9" t="s">
        <v>302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12.5" customHeight="1">
      <c r="A390" s="8" t="str">
        <f>IMAGE("https://lh3.googleusercontent.com/u/0/d/1ZhFGr-zz3Qx3IwYmVnQcVFBEEC1iP3Kb")</f>
        <v/>
      </c>
      <c r="B390" s="7" t="s">
        <v>303</v>
      </c>
      <c r="C390" s="7"/>
      <c r="D390" s="8"/>
      <c r="E390" s="9"/>
      <c r="F390" s="9" t="s">
        <v>302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12.5" customHeight="1">
      <c r="A391" s="8" t="str">
        <f>IMAGE("https://lh3.googleusercontent.com/u/0/d/1srJ4uBt2ZtneD2WjQUcJZZrCLQXcdiPY")</f>
        <v/>
      </c>
      <c r="B391" s="7" t="s">
        <v>304</v>
      </c>
      <c r="C391" s="7"/>
      <c r="D391" s="8"/>
      <c r="E391" s="9"/>
      <c r="F391" s="9" t="s">
        <v>302</v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12.5" customHeight="1">
      <c r="A392" s="8" t="str">
        <f>IMAGE("https://lh3.googleusercontent.com/u/0/d/1hyAplsen1Rc1vJy-TIQvWRg4LIFV683D")</f>
        <v/>
      </c>
      <c r="B392" s="7" t="s">
        <v>305</v>
      </c>
      <c r="C392" s="7"/>
      <c r="D392" s="8"/>
      <c r="E392" s="9"/>
      <c r="F392" s="9" t="s">
        <v>302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12.5" customHeight="1">
      <c r="A393" s="8" t="str">
        <f>IMAGE("https://lh3.googleusercontent.com/u/0/d/1POgJ42DkdIHc1C6-A0zfTaU_p7d1B7eG")</f>
        <v/>
      </c>
      <c r="B393" s="7" t="s">
        <v>306</v>
      </c>
      <c r="C393" s="7"/>
      <c r="D393" s="8"/>
      <c r="E393" s="9"/>
      <c r="F393" s="9" t="s">
        <v>302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12.5" customHeight="1">
      <c r="A394" s="8" t="str">
        <f>IMAGE("https://lh3.googleusercontent.com/u/0/d/1ABVUKoO7RNM6j4_2pPgefAGAbh3Eziy4")</f>
        <v/>
      </c>
      <c r="B394" s="7" t="s">
        <v>307</v>
      </c>
      <c r="C394" s="7"/>
      <c r="D394" s="8"/>
      <c r="E394" s="9"/>
      <c r="F394" s="9" t="s">
        <v>302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12.5" customHeight="1">
      <c r="A395" s="8" t="str">
        <f>IMAGE("https://lh3.googleusercontent.com/u/0/d/1n_hsJomeb_NXPJFjGCxYZlB5iBYKwsrj")</f>
        <v/>
      </c>
      <c r="B395" s="9" t="s">
        <v>308</v>
      </c>
      <c r="C395" s="9"/>
      <c r="D395" s="8"/>
      <c r="E395" s="9"/>
      <c r="F395" s="9" t="s">
        <v>302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12.5" customHeight="1">
      <c r="A396" s="8" t="str">
        <f>IMAGE("https://lh3.googleusercontent.com/u/0/d/1bbyac2opaqk24r_ZrJCuDZVx1pXfcCzi")</f>
        <v/>
      </c>
      <c r="B396" s="9" t="s">
        <v>309</v>
      </c>
      <c r="C396" s="9"/>
      <c r="D396" s="8"/>
      <c r="E396" s="9"/>
      <c r="F396" s="9" t="s">
        <v>302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12.5" customHeight="1">
      <c r="A397" s="8" t="str">
        <f>IMAGE("https://lh3.googleusercontent.com/u/0/d/1xsgoicqs0RroME2f-ciQE4XESm6BHh3q")</f>
        <v/>
      </c>
      <c r="B397" s="9" t="s">
        <v>310</v>
      </c>
      <c r="C397" s="9"/>
      <c r="D397" s="8"/>
      <c r="E397" s="9"/>
      <c r="F397" s="9" t="s">
        <v>302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12.5" customHeight="1">
      <c r="A398" s="8" t="str">
        <f>IMAGE("https://lh3.googleusercontent.com/u/0/d/1RJw9vpKT6HB-eJw6Su-uVQnq4BUz0arP")</f>
        <v/>
      </c>
      <c r="B398" s="9" t="s">
        <v>311</v>
      </c>
      <c r="C398" s="9"/>
      <c r="D398" s="8"/>
      <c r="E398" s="9"/>
      <c r="F398" s="9" t="s">
        <v>302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12.5" customHeight="1">
      <c r="A399" s="8" t="str">
        <f>IMAGE("https://lh3.googleusercontent.com/u/0/d/1Bf-QN22v3H7G9JzKF4HjZ8YQPs86AWq8")</f>
        <v/>
      </c>
      <c r="B399" s="9" t="s">
        <v>312</v>
      </c>
      <c r="C399" s="9"/>
      <c r="D399" s="8"/>
      <c r="E399" s="9"/>
      <c r="F399" s="9" t="s">
        <v>302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12.5" customHeight="1">
      <c r="A400" s="8" t="str">
        <f>IMAGE("https://lh3.googleusercontent.com/u/0/d/1gT9q9fvgDXzqLgnh32lkZf5zHUhOApPS")</f>
        <v/>
      </c>
      <c r="B400" s="7" t="s">
        <v>313</v>
      </c>
      <c r="C400" s="7"/>
      <c r="D400" s="8"/>
      <c r="E400" s="9"/>
      <c r="F400" s="9" t="s">
        <v>302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12.5" customHeight="1">
      <c r="A401" s="8" t="str">
        <f>IMAGE("https://lh3.googleusercontent.com/u/0/d/1jI4BO9Nv1-v_-bpYiF5SxbIgT3mqOMiE")</f>
        <v/>
      </c>
      <c r="B401" s="7" t="s">
        <v>314</v>
      </c>
      <c r="C401" s="7"/>
      <c r="D401" s="8"/>
      <c r="E401" s="9"/>
      <c r="F401" s="9" t="s">
        <v>302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12.5" customHeight="1">
      <c r="A402" s="8" t="str">
        <f>IMAGE("https://lh3.googleusercontent.com/u/0/d/1pd8ii9JTI9K29LagUfTTM92t01wrpw0m")</f>
        <v/>
      </c>
      <c r="B402" s="7" t="s">
        <v>315</v>
      </c>
      <c r="C402" s="7"/>
      <c r="D402" s="8"/>
      <c r="E402" s="9"/>
      <c r="F402" s="9" t="s">
        <v>302</v>
      </c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12.5" customHeight="1">
      <c r="A403" s="8" t="str">
        <f>IMAGE("https://lh3.googleusercontent.com/u/0/d/1BSqR3kzo4DjI3fZxlKj6dtE7xrBkW6b_")</f>
        <v/>
      </c>
      <c r="B403" s="7" t="s">
        <v>316</v>
      </c>
      <c r="C403" s="7"/>
      <c r="D403" s="7"/>
      <c r="E403" s="9"/>
      <c r="F403" s="9" t="s">
        <v>302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12.5" customHeight="1">
      <c r="A404" s="8" t="str">
        <f>IMAGE("https://lh3.googleusercontent.com/u/0/d/10FrGWR7bZM8zcWAUTKP0G5H0V8XLVC7b")</f>
        <v/>
      </c>
      <c r="B404" s="7" t="s">
        <v>317</v>
      </c>
      <c r="C404" s="7"/>
      <c r="D404" s="7" t="s">
        <v>318</v>
      </c>
      <c r="E404" s="9"/>
      <c r="F404" s="9" t="s">
        <v>302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12.5" customHeight="1">
      <c r="A405" s="8" t="str">
        <f>IMAGE("https://lh3.googleusercontent.com/u/0/d/1encN9QWGMctznCbjiwuxzTU8J6sWODAp")</f>
        <v/>
      </c>
      <c r="B405" s="7" t="s">
        <v>317</v>
      </c>
      <c r="C405" s="7"/>
      <c r="D405" s="7" t="s">
        <v>318</v>
      </c>
      <c r="E405" s="9"/>
      <c r="F405" s="9" t="s">
        <v>302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12.5" customHeight="1">
      <c r="A406" s="8" t="str">
        <f>IMAGE("https://lh3.googleusercontent.com/u/0/d/1tcd8Z4zYIERghvQkp6J_pAEtB9-pq7jh")</f>
        <v/>
      </c>
      <c r="B406" s="7" t="s">
        <v>317</v>
      </c>
      <c r="C406" s="7"/>
      <c r="D406" s="7" t="s">
        <v>318</v>
      </c>
      <c r="E406" s="9"/>
      <c r="F406" s="9" t="s">
        <v>302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12.5" customHeight="1">
      <c r="A407" s="8" t="str">
        <f>IMAGE("https://lh3.googleusercontent.com/u/0/d/1m6bRGC1Cl1fS1eqdxqMEJuI5dA09tT0I")</f>
        <v/>
      </c>
      <c r="B407" s="7" t="s">
        <v>319</v>
      </c>
      <c r="C407" s="7"/>
      <c r="D407" s="7" t="s">
        <v>318</v>
      </c>
      <c r="E407" s="9"/>
      <c r="F407" s="9" t="s">
        <v>302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12.5" customHeight="1">
      <c r="A408" s="8" t="str">
        <f>IMAGE("https://lh3.googleusercontent.com/u/0/d/1HUkKX-NY5r_aIOgJ2nlktL9BTs04Ehwo")</f>
        <v/>
      </c>
      <c r="B408" s="7" t="s">
        <v>319</v>
      </c>
      <c r="C408" s="7"/>
      <c r="D408" s="7" t="s">
        <v>318</v>
      </c>
      <c r="E408" s="9"/>
      <c r="F408" s="9" t="s">
        <v>302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12.5" customHeight="1">
      <c r="A409" s="8" t="str">
        <f>IMAGE("https://lh3.googleusercontent.com/u/0/d/1vy89mmDxCF_fJi8_ES_LSDSzz21E3W0M")</f>
        <v/>
      </c>
      <c r="B409" s="7" t="s">
        <v>320</v>
      </c>
      <c r="C409" s="7"/>
      <c r="D409" s="7" t="s">
        <v>318</v>
      </c>
      <c r="E409" s="9"/>
      <c r="F409" s="9" t="s">
        <v>302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12.5" customHeight="1">
      <c r="A410" s="8" t="str">
        <f>IMAGE("https://lh3.googleusercontent.com/u/0/d/1TTon_gkydD7GoJZkZ4pQtfLlc6f0DHGg")</f>
        <v/>
      </c>
      <c r="B410" s="7" t="s">
        <v>321</v>
      </c>
      <c r="C410" s="7"/>
      <c r="D410" s="7" t="s">
        <v>318</v>
      </c>
      <c r="E410" s="9"/>
      <c r="F410" s="9" t="s">
        <v>302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12.5" customHeight="1">
      <c r="A411" s="8" t="str">
        <f>IMAGE("https://lh3.googleusercontent.com/u/0/d/1z4NbLV8g3S6aqbnStII-YVq7qqe1avBa")</f>
        <v/>
      </c>
      <c r="B411" s="7" t="s">
        <v>322</v>
      </c>
      <c r="C411" s="7"/>
      <c r="D411" s="7" t="s">
        <v>318</v>
      </c>
      <c r="E411" s="9"/>
      <c r="F411" s="9" t="s">
        <v>302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12.5" customHeight="1">
      <c r="A412" s="8" t="str">
        <f>IMAGE("https://lh3.googleusercontent.com/u/0/d/1dsofXQh7i1arlvk1pB9EndEJRKslBj0d")</f>
        <v/>
      </c>
      <c r="B412" s="7" t="s">
        <v>323</v>
      </c>
      <c r="C412" s="7"/>
      <c r="D412" s="7" t="s">
        <v>324</v>
      </c>
      <c r="E412" s="9"/>
      <c r="F412" s="9" t="s">
        <v>302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12.5" customHeight="1">
      <c r="A413" s="8" t="str">
        <f>IMAGE("https://lh3.googleusercontent.com/u/0/d/1pGypeq3IM810ITrTN4ns4QL8VgTuoMxf")</f>
        <v/>
      </c>
      <c r="B413" s="7" t="s">
        <v>325</v>
      </c>
      <c r="C413" s="7"/>
      <c r="D413" s="7" t="s">
        <v>318</v>
      </c>
      <c r="E413" s="9"/>
      <c r="F413" s="9" t="s">
        <v>302</v>
      </c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12.5" customHeight="1">
      <c r="A414" s="8" t="str">
        <f>IMAGE("https://lh3.googleusercontent.com/u/0/d/15m_Haw7GSQ2sUv_DAHw0-6okznxO9D2d")</f>
        <v/>
      </c>
      <c r="B414" s="7" t="s">
        <v>326</v>
      </c>
      <c r="C414" s="7"/>
      <c r="D414" s="7" t="s">
        <v>318</v>
      </c>
      <c r="E414" s="9"/>
      <c r="F414" s="9" t="s">
        <v>302</v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12.5" customHeight="1">
      <c r="A415" s="8" t="str">
        <f>IMAGE("https://lh3.googleusercontent.com/u/0/d/1zYQFVa2nOCt-IliUAdAFXDw7AOpSSQXY")</f>
        <v/>
      </c>
      <c r="B415" s="7" t="s">
        <v>327</v>
      </c>
      <c r="C415" s="7"/>
      <c r="D415" s="7" t="s">
        <v>318</v>
      </c>
      <c r="E415" s="9"/>
      <c r="F415" s="9" t="s">
        <v>302</v>
      </c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12.5" customHeight="1">
      <c r="A416" s="8" t="str">
        <f>IMAGE("https://lh3.googleusercontent.com/u/0/d/1OfmaUMC2ILBVkXwvI71DsAgaWyRofmxF")</f>
        <v/>
      </c>
      <c r="B416" s="7" t="s">
        <v>328</v>
      </c>
      <c r="C416" s="7"/>
      <c r="D416" s="8"/>
      <c r="E416" s="9"/>
      <c r="F416" s="9" t="s">
        <v>302</v>
      </c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12.5" customHeight="1">
      <c r="A417" s="8" t="str">
        <f>IMAGE("https://lh3.googleusercontent.com/u/0/d/1O_LbM69Tmicafb_CHyV73e5bREhD1rbA")</f>
        <v/>
      </c>
      <c r="B417" s="7" t="s">
        <v>329</v>
      </c>
      <c r="C417" s="7"/>
      <c r="D417" s="8"/>
      <c r="E417" s="9"/>
      <c r="F417" s="9" t="s">
        <v>302</v>
      </c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12.5" customHeight="1">
      <c r="A418" s="8" t="str">
        <f>IMAGE("https://lh3.googleusercontent.com/u/0/d/1iXywdpudRgGBIK8Xv4MwnAFyRACuXI-O")</f>
        <v/>
      </c>
      <c r="B418" s="7" t="s">
        <v>330</v>
      </c>
      <c r="C418" s="7"/>
      <c r="D418" s="8"/>
      <c r="E418" s="9"/>
      <c r="F418" s="9" t="s">
        <v>302</v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12.5" customHeight="1">
      <c r="A419" s="8" t="str">
        <f>IMAGE("https://lh3.googleusercontent.com/u/0/d/1OmSmKKKJSWndaoLkKysg2fAfGo47SMkP")</f>
        <v/>
      </c>
      <c r="B419" s="7" t="s">
        <v>331</v>
      </c>
      <c r="C419" s="7"/>
      <c r="D419" s="8"/>
      <c r="E419" s="9"/>
      <c r="F419" s="9" t="s">
        <v>302</v>
      </c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12.5" customHeight="1">
      <c r="A420" s="8" t="str">
        <f>IMAGE("https://lh3.googleusercontent.com/u/0/d/1IDm0VVLJ5GYLie87af3cGm9V34YsJCZk")</f>
        <v/>
      </c>
      <c r="B420" s="7" t="s">
        <v>332</v>
      </c>
      <c r="C420" s="7"/>
      <c r="D420" s="7"/>
      <c r="E420" s="9"/>
      <c r="F420" s="9" t="s">
        <v>302</v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12.5" customHeight="1">
      <c r="A421" s="8" t="str">
        <f>IMAGE("https://lh3.googleusercontent.com/u/0/d/1-7BBp09RlT_QeM9VPVquBPg-k10FcALG")</f>
        <v/>
      </c>
      <c r="B421" s="7" t="s">
        <v>333</v>
      </c>
      <c r="C421" s="7"/>
      <c r="D421" s="7" t="s">
        <v>324</v>
      </c>
      <c r="E421" s="9"/>
      <c r="F421" s="9" t="s">
        <v>302</v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12.5" customHeight="1">
      <c r="A422" s="8" t="str">
        <f>IMAGE("https://lh3.googleusercontent.com/u/0/d/1CsT8koGwj1jeZbjCfaTPNCazxO6MAJfK")</f>
        <v/>
      </c>
      <c r="B422" s="7" t="s">
        <v>334</v>
      </c>
      <c r="C422" s="7"/>
      <c r="D422" s="7" t="s">
        <v>335</v>
      </c>
      <c r="E422" s="9"/>
      <c r="F422" s="9" t="s">
        <v>302</v>
      </c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12.5" customHeight="1">
      <c r="A423" s="8" t="str">
        <f>IMAGE("https://lh3.googleusercontent.com/u/0/d/1g3EmC7FELgAyRyQoeOnPf0XHohD7yDA5")</f>
        <v/>
      </c>
      <c r="B423" s="7" t="s">
        <v>336</v>
      </c>
      <c r="C423" s="7"/>
      <c r="D423" s="7" t="s">
        <v>318</v>
      </c>
      <c r="E423" s="9"/>
      <c r="F423" s="9" t="s">
        <v>302</v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12.5" customHeight="1">
      <c r="A424" s="8" t="str">
        <f>IMAGE("https://lh3.googleusercontent.com/u/0/d/158wImEUfWMjoopJ1z2SHMg0-_QNPOSwh")</f>
        <v/>
      </c>
      <c r="B424" s="7" t="s">
        <v>337</v>
      </c>
      <c r="C424" s="7"/>
      <c r="D424" s="7"/>
      <c r="E424" s="9"/>
      <c r="F424" s="9" t="s">
        <v>302</v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12.5" customHeight="1">
      <c r="A425" s="8" t="str">
        <f>IMAGE("https://lh3.googleusercontent.com/u/0/d/15q7hnRtiqmmQVQzj7tPAUKUmDrdHQPvF")</f>
        <v/>
      </c>
      <c r="B425" s="7" t="s">
        <v>338</v>
      </c>
      <c r="C425" s="7"/>
      <c r="D425" s="7" t="s">
        <v>324</v>
      </c>
      <c r="E425" s="9"/>
      <c r="F425" s="9" t="s">
        <v>302</v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12.5" customHeight="1">
      <c r="A426" s="8" t="str">
        <f>IMAGE("https://lh3.googleusercontent.com/u/0/d/1idAEeLNCtSS_HyljamrcNHeIG_4pvddy")</f>
        <v/>
      </c>
      <c r="B426" s="7" t="s">
        <v>339</v>
      </c>
      <c r="C426" s="7"/>
      <c r="D426" s="7" t="s">
        <v>324</v>
      </c>
      <c r="E426" s="9"/>
      <c r="F426" s="9" t="s">
        <v>302</v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12.5" customHeight="1">
      <c r="A427" s="8" t="str">
        <f>IMAGE("https://lh3.googleusercontent.com/u/0/d/1QSjqPUWih48T-AFwJRTE-1l5DVdtfScJ")</f>
        <v/>
      </c>
      <c r="B427" s="7" t="s">
        <v>340</v>
      </c>
      <c r="C427" s="7"/>
      <c r="D427" s="7" t="s">
        <v>335</v>
      </c>
      <c r="E427" s="9"/>
      <c r="F427" s="9" t="s">
        <v>302</v>
      </c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12.5" customHeight="1">
      <c r="A428" s="8" t="str">
        <f>IMAGE("https://lh3.googleusercontent.com/u/0/d/17FibdWB5z2EUOU_okKsFZM7YJUvShV4c")</f>
        <v/>
      </c>
      <c r="B428" s="7" t="s">
        <v>341</v>
      </c>
      <c r="C428" s="7"/>
      <c r="D428" s="7" t="s">
        <v>324</v>
      </c>
      <c r="E428" s="9"/>
      <c r="F428" s="9" t="s">
        <v>302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12.5" customHeight="1">
      <c r="A429" s="8" t="str">
        <f>IMAGE("https://lh3.googleusercontent.com/u/0/d/1r6DV2nLUUumW2MvHQpYg8YN_7Ahc2Xy9")</f>
        <v/>
      </c>
      <c r="B429" s="7" t="s">
        <v>342</v>
      </c>
      <c r="C429" s="7"/>
      <c r="D429" s="7"/>
      <c r="E429" s="9"/>
      <c r="F429" s="9" t="s">
        <v>302</v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12.5" customHeight="1">
      <c r="A430" s="8" t="str">
        <f>IMAGE("https://lh3.googleusercontent.com/u/0/d/1YrMx84gwWWxnHITtalGMv7DZRyfYg57t")</f>
        <v/>
      </c>
      <c r="B430" s="7" t="s">
        <v>343</v>
      </c>
      <c r="C430" s="7"/>
      <c r="D430" s="7" t="s">
        <v>335</v>
      </c>
      <c r="E430" s="9"/>
      <c r="F430" s="9" t="s">
        <v>302</v>
      </c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12.5" customHeight="1">
      <c r="A431" s="8" t="str">
        <f>IMAGE("https://lh3.googleusercontent.com/u/0/d/1WrgxqYpjcMCRcwmyDheJkqU2-qYZY8yf")</f>
        <v/>
      </c>
      <c r="B431" s="7" t="s">
        <v>344</v>
      </c>
      <c r="C431" s="7"/>
      <c r="D431" s="7" t="s">
        <v>318</v>
      </c>
      <c r="E431" s="9"/>
      <c r="F431" s="9" t="s">
        <v>302</v>
      </c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12.5" customHeight="1">
      <c r="A432" s="8" t="str">
        <f>IMAGE("https://lh3.googleusercontent.com/u/0/d/1alqJx7L0xzRm6nGFXNm9DA7XQCi7H7sV")</f>
        <v/>
      </c>
      <c r="B432" s="7" t="s">
        <v>345</v>
      </c>
      <c r="C432" s="7"/>
      <c r="D432" s="7"/>
      <c r="E432" s="9"/>
      <c r="F432" s="9" t="s">
        <v>302</v>
      </c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12.5" customHeight="1">
      <c r="A433" s="8" t="str">
        <f>IMAGE("https://lh3.googleusercontent.com/u/0/d/16YcsBu-m0hqGBUmYfIpT4uCrkgHnhpIU")</f>
        <v/>
      </c>
      <c r="B433" s="7" t="s">
        <v>346</v>
      </c>
      <c r="C433" s="7"/>
      <c r="D433" s="7" t="s">
        <v>318</v>
      </c>
      <c r="E433" s="9"/>
      <c r="F433" s="9" t="s">
        <v>302</v>
      </c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12.5" customHeight="1">
      <c r="A434" s="8" t="str">
        <f>IMAGE("https://lh3.googleusercontent.com/u/0/d/1po6WXz9nNZIvjrfmKFHxsV4YyA7ivVCU")</f>
        <v/>
      </c>
      <c r="B434" s="7" t="s">
        <v>347</v>
      </c>
      <c r="C434" s="7"/>
      <c r="D434" s="7" t="s">
        <v>324</v>
      </c>
      <c r="E434" s="9"/>
      <c r="F434" s="9" t="s">
        <v>302</v>
      </c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12.5" customHeight="1">
      <c r="A435" s="8" t="str">
        <f>IMAGE("https://lh3.googleusercontent.com/u/0/d/186MgGjOeOP6BxQLOtiJSAVzlF1KAg3Y-")</f>
        <v/>
      </c>
      <c r="B435" s="7" t="s">
        <v>348</v>
      </c>
      <c r="C435" s="7"/>
      <c r="D435" s="7" t="s">
        <v>324</v>
      </c>
      <c r="E435" s="9"/>
      <c r="F435" s="9" t="s">
        <v>302</v>
      </c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12.5" customHeight="1">
      <c r="A436" s="8" t="str">
        <f>IMAGE("https://lh3.googleusercontent.com/u/0/d/18UEwcK-0enuiq70xY0jTryP1p1Oa9F_8")</f>
        <v/>
      </c>
      <c r="B436" s="7" t="s">
        <v>349</v>
      </c>
      <c r="C436" s="7"/>
      <c r="D436" s="7" t="s">
        <v>324</v>
      </c>
      <c r="E436" s="9"/>
      <c r="F436" s="9" t="s">
        <v>302</v>
      </c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12.5" customHeight="1">
      <c r="A437" s="8" t="str">
        <f>IMAGE("https://lh3.googleusercontent.com/u/0/d/17F427J5nqKKyiTVmw4BIqXcX3dD_GuOV")</f>
        <v/>
      </c>
      <c r="B437" s="7" t="s">
        <v>350</v>
      </c>
      <c r="C437" s="7"/>
      <c r="D437" s="7" t="s">
        <v>318</v>
      </c>
      <c r="E437" s="9"/>
      <c r="F437" s="9" t="s">
        <v>302</v>
      </c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12.5" customHeight="1">
      <c r="A438" s="8" t="str">
        <f>IMAGE("https://lh3.googleusercontent.com/u/0/d/1i71xc6e1_QU2DfFnQXSbhVPe8zghfDe_")</f>
        <v/>
      </c>
      <c r="B438" s="7" t="s">
        <v>351</v>
      </c>
      <c r="C438" s="7"/>
      <c r="D438" s="7"/>
      <c r="E438" s="9"/>
      <c r="F438" s="9" t="s">
        <v>302</v>
      </c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12.5" customHeight="1">
      <c r="A439" s="8" t="str">
        <f>IMAGE("https://lh3.googleusercontent.com/u/0/d/1VcpOn-0kGcmQes0P53Oye236l1jTMZQb")</f>
        <v/>
      </c>
      <c r="B439" s="7" t="s">
        <v>352</v>
      </c>
      <c r="C439" s="7"/>
      <c r="D439" s="7" t="s">
        <v>324</v>
      </c>
      <c r="E439" s="9"/>
      <c r="F439" s="9" t="s">
        <v>302</v>
      </c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12.5" customHeight="1">
      <c r="A440" s="8" t="str">
        <f>IMAGE("https://lh3.googleusercontent.com/u/0/d/1aRxsQZGZGvnjC1kny6sV8sbMINSX331l")</f>
        <v/>
      </c>
      <c r="B440" s="7" t="s">
        <v>353</v>
      </c>
      <c r="C440" s="7"/>
      <c r="D440" s="7" t="s">
        <v>324</v>
      </c>
      <c r="E440" s="9"/>
      <c r="F440" s="9" t="s">
        <v>302</v>
      </c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12.5" customHeight="1">
      <c r="A441" s="8" t="str">
        <f>IMAGE("https://lh3.googleusercontent.com/u/0/d/15HC3qW95YZUmd0bOHBqElUl8KukPWaKt")</f>
        <v/>
      </c>
      <c r="B441" s="7" t="s">
        <v>354</v>
      </c>
      <c r="C441" s="7"/>
      <c r="D441" s="7" t="s">
        <v>318</v>
      </c>
      <c r="E441" s="9"/>
      <c r="F441" s="9" t="s">
        <v>302</v>
      </c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12.5" customHeight="1">
      <c r="A442" s="8" t="str">
        <f>IMAGE("https://lh3.googleusercontent.com/u/0/d/13x11idYGo-bafxkin6VwgqJyucRKEnny")</f>
        <v/>
      </c>
      <c r="B442" s="7" t="s">
        <v>355</v>
      </c>
      <c r="C442" s="7"/>
      <c r="D442" s="8"/>
      <c r="E442" s="9"/>
      <c r="F442" s="9" t="s">
        <v>302</v>
      </c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12.5" customHeight="1">
      <c r="A443" s="8" t="str">
        <f>IMAGE("https://lh3.googleusercontent.com/u/0/d/1Jm_7YCEzCEJXqyvx6IHWlP6RhpHUBm9o")</f>
        <v/>
      </c>
      <c r="B443" s="7" t="s">
        <v>356</v>
      </c>
      <c r="C443" s="7"/>
      <c r="D443" s="7"/>
      <c r="E443" s="9"/>
      <c r="F443" s="9" t="s">
        <v>302</v>
      </c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12.5" customHeight="1">
      <c r="A444" s="8" t="str">
        <f>IMAGE("https://lh3.googleusercontent.com/u/0/d/1J4Bu3gcPpAviJKLk_zFjbx5nA_IYbAmF")</f>
        <v/>
      </c>
      <c r="B444" s="7" t="s">
        <v>357</v>
      </c>
      <c r="C444" s="7"/>
      <c r="D444" s="7" t="s">
        <v>335</v>
      </c>
      <c r="E444" s="9"/>
      <c r="F444" s="9" t="s">
        <v>302</v>
      </c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12.5" customHeight="1">
      <c r="A445" s="8" t="str">
        <f>IMAGE("https://lh3.googleusercontent.com/u/0/d/1-Ro4iEPE2m6pE2g0pV0uOuIhmxYfFwIW")</f>
        <v/>
      </c>
      <c r="B445" s="7" t="s">
        <v>358</v>
      </c>
      <c r="C445" s="7"/>
      <c r="D445" s="7" t="s">
        <v>324</v>
      </c>
      <c r="E445" s="9"/>
      <c r="F445" s="9" t="s">
        <v>302</v>
      </c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12.5" customHeight="1">
      <c r="A446" s="8" t="str">
        <f>IMAGE("https://lh3.googleusercontent.com/u/0/d/1k-Ecitp6TI0obuBhDrnqgZZ1sVv1ltm1")</f>
        <v/>
      </c>
      <c r="B446" s="7" t="s">
        <v>359</v>
      </c>
      <c r="C446" s="7"/>
      <c r="D446" s="7" t="s">
        <v>324</v>
      </c>
      <c r="E446" s="9"/>
      <c r="F446" s="9" t="s">
        <v>302</v>
      </c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12.5" customHeight="1">
      <c r="A447" s="8" t="str">
        <f>IMAGE("https://lh3.googleusercontent.com/u/0/d/1nvFs0Wgus3jjlcGHEO-cmKxSo7_7WJL9")</f>
        <v/>
      </c>
      <c r="B447" s="7" t="s">
        <v>360</v>
      </c>
      <c r="C447" s="7"/>
      <c r="D447" s="7" t="s">
        <v>324</v>
      </c>
      <c r="E447" s="9"/>
      <c r="F447" s="9" t="s">
        <v>302</v>
      </c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12.5" customHeight="1">
      <c r="A448" s="8" t="str">
        <f>IMAGE("https://lh3.googleusercontent.com/u/0/d/1h4SlhXnS0AY5TwYwXYhY9pQxfkGZe0yJ")</f>
        <v/>
      </c>
      <c r="B448" s="7" t="s">
        <v>361</v>
      </c>
      <c r="C448" s="7"/>
      <c r="D448" s="8"/>
      <c r="E448" s="9"/>
      <c r="F448" s="9" t="s">
        <v>302</v>
      </c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12.5" customHeight="1">
      <c r="A449" s="8" t="str">
        <f>IMAGE("https://lh3.googleusercontent.com/u/0/d/1U3xLHYpMuaiVzyZAcfBQbg9JvOqb0nmE")</f>
        <v/>
      </c>
      <c r="B449" s="7" t="s">
        <v>362</v>
      </c>
      <c r="C449" s="7"/>
      <c r="D449" s="8"/>
      <c r="E449" s="9"/>
      <c r="F449" s="9" t="s">
        <v>302</v>
      </c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12.5" customHeight="1">
      <c r="A450" s="8" t="str">
        <f>IMAGE("https://lh3.googleusercontent.com/u/0/d/1HvjtothH1Qs8nDba-WaEZvyOp7hgW0_J")</f>
        <v/>
      </c>
      <c r="B450" s="7" t="s">
        <v>363</v>
      </c>
      <c r="C450" s="7"/>
      <c r="D450" s="7"/>
      <c r="E450" s="9"/>
      <c r="F450" s="9" t="s">
        <v>302</v>
      </c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12.5" customHeight="1">
      <c r="A451" s="8" t="str">
        <f>IMAGE("https://lh3.googleusercontent.com/u/0/d/14M3QYiI8seHCVHk25bVCPOHK92LFVt_L")</f>
        <v/>
      </c>
      <c r="B451" s="7" t="s">
        <v>364</v>
      </c>
      <c r="C451" s="7"/>
      <c r="D451" s="7" t="s">
        <v>318</v>
      </c>
      <c r="E451" s="9"/>
      <c r="F451" s="9" t="s">
        <v>302</v>
      </c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12.5" customHeight="1">
      <c r="A452" s="8" t="str">
        <f>IMAGE("https://lh3.googleusercontent.com/u/0/d/1wPaIeIBMh-WASGH0zwkiDFKKWGNam4w0")</f>
        <v/>
      </c>
      <c r="B452" s="7" t="s">
        <v>365</v>
      </c>
      <c r="C452" s="7"/>
      <c r="D452" s="7" t="s">
        <v>324</v>
      </c>
      <c r="E452" s="9"/>
      <c r="F452" s="9" t="s">
        <v>302</v>
      </c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12.5" customHeight="1">
      <c r="A453" s="8" t="str">
        <f>IMAGE("https://lh3.googleusercontent.com/u/0/d/1BR0BKqgwqWLgZu8fZoYUFRwZzEnOMGuN")</f>
        <v/>
      </c>
      <c r="B453" s="7" t="s">
        <v>366</v>
      </c>
      <c r="C453" s="7"/>
      <c r="D453" s="8"/>
      <c r="E453" s="9"/>
      <c r="F453" s="9" t="s">
        <v>302</v>
      </c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12.5" customHeight="1">
      <c r="A454" s="8" t="str">
        <f>IMAGE("https://lh3.googleusercontent.com/u/0/d/1gdqtGEMNrsMs1SUMdyzQbmAhnPuNT5eC")</f>
        <v/>
      </c>
      <c r="B454" s="7" t="s">
        <v>367</v>
      </c>
      <c r="C454" s="7"/>
      <c r="D454" s="8"/>
      <c r="E454" s="9"/>
      <c r="F454" s="9" t="s">
        <v>302</v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12.5" customHeight="1">
      <c r="A455" s="8" t="str">
        <f>IMAGE("https://lh3.googleusercontent.com/u/0/d/1Oaecjl0bgGUWg_DHR2oOhFa9LT1UQXg3")</f>
        <v/>
      </c>
      <c r="B455" s="7" t="s">
        <v>368</v>
      </c>
      <c r="C455" s="7"/>
      <c r="D455" s="8"/>
      <c r="E455" s="9"/>
      <c r="F455" s="9" t="s">
        <v>302</v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12.5" customHeight="1">
      <c r="A456" s="8" t="str">
        <f>IMAGE("https://lh3.googleusercontent.com/u/0/d/1gqMqc-HSUCuy09khTPvIGZVzZ_9UJLgo")</f>
        <v/>
      </c>
      <c r="B456" s="7" t="s">
        <v>369</v>
      </c>
      <c r="C456" s="7"/>
      <c r="D456" s="8"/>
      <c r="E456" s="9"/>
      <c r="F456" s="9" t="s">
        <v>302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12.5" customHeight="1">
      <c r="A457" s="8" t="str">
        <f>IMAGE("https://lh3.googleusercontent.com/u/0/d/1CRYrS7fskV_uzLRgMkxiq2_0oqKX3HJh")</f>
        <v/>
      </c>
      <c r="B457" s="7" t="s">
        <v>370</v>
      </c>
      <c r="C457" s="7"/>
      <c r="D457" s="7"/>
      <c r="E457" s="9"/>
      <c r="F457" s="9" t="s">
        <v>302</v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12.5" customHeight="1">
      <c r="A458" s="8" t="str">
        <f>IMAGE("https://lh3.googleusercontent.com/u/0/d/1L4Tl88U7YItpahS52YgqknPyPfTzwjFW")</f>
        <v/>
      </c>
      <c r="B458" s="7" t="s">
        <v>371</v>
      </c>
      <c r="C458" s="7"/>
      <c r="D458" s="7" t="s">
        <v>318</v>
      </c>
      <c r="E458" s="9"/>
      <c r="F458" s="9" t="s">
        <v>302</v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12.5" customHeight="1">
      <c r="A459" s="8" t="str">
        <f>IMAGE("https://lh3.googleusercontent.com/u/0/d/15NDIYwttCj131rPSJ5ixWQRhdnLrwgoa")</f>
        <v/>
      </c>
      <c r="B459" s="7" t="s">
        <v>372</v>
      </c>
      <c r="C459" s="7"/>
      <c r="D459" s="7" t="s">
        <v>318</v>
      </c>
      <c r="E459" s="9"/>
      <c r="F459" s="9" t="s">
        <v>302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12.5" customHeight="1">
      <c r="A460" s="8" t="str">
        <f>IMAGE("https://lh3.googleusercontent.com/u/0/d/1bnF19GLvDDhmtRB62R2MCTABCi_yRg_b")</f>
        <v/>
      </c>
      <c r="B460" s="7" t="s">
        <v>373</v>
      </c>
      <c r="C460" s="7"/>
      <c r="D460" s="7" t="s">
        <v>324</v>
      </c>
      <c r="E460" s="9"/>
      <c r="F460" s="9" t="s">
        <v>302</v>
      </c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12.5" customHeight="1">
      <c r="A461" s="8" t="str">
        <f>IMAGE("https://lh3.googleusercontent.com/u/0/d/1z9-4mjI2KLeWYL7E975SMY4JKnbIJ8Qp")</f>
        <v/>
      </c>
      <c r="B461" s="7" t="s">
        <v>374</v>
      </c>
      <c r="C461" s="7"/>
      <c r="D461" s="7" t="s">
        <v>324</v>
      </c>
      <c r="E461" s="9"/>
      <c r="F461" s="9" t="s">
        <v>302</v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12.5" customHeight="1">
      <c r="A462" s="8" t="str">
        <f>IMAGE("https://lh3.googleusercontent.com/u/0/d/1R5UzF3m6d8fdjHig4rZXfu4okZ4PP-KO")</f>
        <v/>
      </c>
      <c r="B462" s="7" t="s">
        <v>375</v>
      </c>
      <c r="C462" s="7"/>
      <c r="D462" s="8"/>
      <c r="E462" s="9"/>
      <c r="F462" s="9" t="s">
        <v>302</v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12.5" customHeight="1">
      <c r="A463" s="8" t="str">
        <f>IMAGE("https://lh3.googleusercontent.com/u/0/d/1VDKs-92ZgQHb8RYBAKRcURAboJjEUG-U")</f>
        <v/>
      </c>
      <c r="B463" s="7" t="s">
        <v>376</v>
      </c>
      <c r="C463" s="7"/>
      <c r="D463" s="8"/>
      <c r="E463" s="9"/>
      <c r="F463" s="9" t="s">
        <v>302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12.5" customHeight="1">
      <c r="A464" s="8" t="str">
        <f>IMAGE("https://lh3.googleusercontent.com/u/0/d/1fg-PuQsWL23kMfEZsy5V3Zlvf2sCTkT7")</f>
        <v/>
      </c>
      <c r="B464" s="7" t="s">
        <v>377</v>
      </c>
      <c r="C464" s="7"/>
      <c r="D464" s="8"/>
      <c r="E464" s="9"/>
      <c r="F464" s="9" t="s">
        <v>302</v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12.5" customHeight="1">
      <c r="A465" s="8" t="str">
        <f>IMAGE("https://lh3.googleusercontent.com/u/0/d/1JKYJ6jl0fZw35CPkVXsrhKRAAOUQcGZE")</f>
        <v/>
      </c>
      <c r="B465" s="7" t="s">
        <v>378</v>
      </c>
      <c r="C465" s="7"/>
      <c r="D465" s="8"/>
      <c r="E465" s="9"/>
      <c r="F465" s="9" t="s">
        <v>302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12.5" customHeight="1">
      <c r="A466" s="8" t="str">
        <f>IMAGE("https://lh3.googleusercontent.com/u/0/d/1gGSZ7MBDJ-FLXDiDaPQG7gxeb1uCT8Sj")</f>
        <v/>
      </c>
      <c r="B466" s="7" t="s">
        <v>379</v>
      </c>
      <c r="C466" s="7"/>
      <c r="D466" s="8"/>
      <c r="E466" s="9"/>
      <c r="F466" s="9" t="s">
        <v>302</v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12.5" customHeight="1">
      <c r="A467" s="8" t="str">
        <f>IMAGE("https://lh3.googleusercontent.com/u/0/d/1haflxJwmFPocXCO9R0E8AkfgPJWuGnLr")</f>
        <v/>
      </c>
      <c r="B467" s="7" t="s">
        <v>380</v>
      </c>
      <c r="C467" s="7"/>
      <c r="D467" s="7"/>
      <c r="E467" s="9"/>
      <c r="F467" s="9" t="s">
        <v>302</v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12.5" customHeight="1">
      <c r="A468" s="8" t="str">
        <f>IMAGE("https://lh3.googleusercontent.com/u/0/d/1XxGHhaF7wYwwi-YpUdWYyfc3W0jY6hZ-")</f>
        <v/>
      </c>
      <c r="B468" s="7" t="s">
        <v>381</v>
      </c>
      <c r="C468" s="7"/>
      <c r="D468" s="7" t="s">
        <v>335</v>
      </c>
      <c r="E468" s="9"/>
      <c r="F468" s="9" t="s">
        <v>302</v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12.5" customHeight="1">
      <c r="A469" s="8" t="str">
        <f>IMAGE("https://lh3.googleusercontent.com/u/0/d/18yBYCCCK4Wg3lZat6zQ6ESHOljK3upLX")</f>
        <v/>
      </c>
      <c r="B469" s="7" t="s">
        <v>382</v>
      </c>
      <c r="C469" s="7"/>
      <c r="D469" s="8"/>
      <c r="E469" s="9"/>
      <c r="F469" s="9" t="s">
        <v>302</v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12.5" customHeight="1">
      <c r="A470" s="8" t="str">
        <f>IMAGE("https://lh3.googleusercontent.com/u/0/d/11g37M7gBWZmRYjbH1OfTQWyWLeN6CCNK")</f>
        <v/>
      </c>
      <c r="B470" s="7" t="s">
        <v>383</v>
      </c>
      <c r="C470" s="7"/>
      <c r="D470" s="8"/>
      <c r="E470" s="9"/>
      <c r="F470" s="9" t="s">
        <v>302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12.5" customHeight="1">
      <c r="A471" s="8" t="str">
        <f>IMAGE("https://lh3.googleusercontent.com/u/0/d/1kdvZvqo8aOzHU3WHNLnjBBDtr2rTcG2C")</f>
        <v/>
      </c>
      <c r="B471" s="7" t="s">
        <v>384</v>
      </c>
      <c r="C471" s="7"/>
      <c r="D471" s="7"/>
      <c r="E471" s="9"/>
      <c r="F471" s="9" t="s">
        <v>302</v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12.5" customHeight="1">
      <c r="A472" s="8" t="str">
        <f>IMAGE("https://lh3.googleusercontent.com/u/0/d/1xySvE_rY4MhJSYdf6Z4wTmg0l5Dm64E4")</f>
        <v/>
      </c>
      <c r="B472" s="7" t="s">
        <v>385</v>
      </c>
      <c r="C472" s="7"/>
      <c r="D472" s="7" t="s">
        <v>335</v>
      </c>
      <c r="E472" s="9"/>
      <c r="F472" s="9" t="s">
        <v>302</v>
      </c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12.5" customHeight="1">
      <c r="A473" s="8" t="str">
        <f>IMAGE("https://lh3.googleusercontent.com/u/0/d/12zzrifPDrT4AsIEYvUWaVDQcjcYeH7ud")</f>
        <v/>
      </c>
      <c r="B473" s="7" t="s">
        <v>386</v>
      </c>
      <c r="C473" s="7"/>
      <c r="D473" s="7"/>
      <c r="E473" s="9"/>
      <c r="F473" s="9" t="s">
        <v>302</v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12.5" customHeight="1">
      <c r="A474" s="8" t="str">
        <f>IMAGE("https://lh3.googleusercontent.com/u/0/d/1wOTMKHyTVRYcowYxRmtonpnucXaryc_1")</f>
        <v/>
      </c>
      <c r="B474" s="7" t="s">
        <v>387</v>
      </c>
      <c r="C474" s="7"/>
      <c r="D474" s="7" t="s">
        <v>324</v>
      </c>
      <c r="E474" s="9"/>
      <c r="F474" s="9" t="s">
        <v>302</v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12.5" customHeight="1">
      <c r="A475" s="8" t="str">
        <f>IMAGE("https://lh3.googleusercontent.com/u/0/d/1N5GI4KKWXXOBaVNOzlSRa4gUXwGZ3z1c")</f>
        <v/>
      </c>
      <c r="B475" s="7" t="s">
        <v>388</v>
      </c>
      <c r="C475" s="7"/>
      <c r="D475" s="7"/>
      <c r="E475" s="9"/>
      <c r="F475" s="9" t="s">
        <v>302</v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12.5" customHeight="1">
      <c r="A476" s="8" t="str">
        <f>IMAGE("https://lh3.googleusercontent.com/u/0/d/1iK1qXa-ijPFf1Vo_9Va6nsLtbfhZIfdX")</f>
        <v/>
      </c>
      <c r="B476" s="7" t="s">
        <v>389</v>
      </c>
      <c r="C476" s="7"/>
      <c r="D476" s="7" t="s">
        <v>324</v>
      </c>
      <c r="E476" s="9"/>
      <c r="F476" s="9" t="s">
        <v>302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12.5" customHeight="1">
      <c r="A477" s="8" t="str">
        <f>IMAGE("https://lh3.googleusercontent.com/u/0/d/1R5urVZMQH-s3fhNGPY1XpNM9CRvLaK4C")</f>
        <v/>
      </c>
      <c r="B477" s="7" t="s">
        <v>390</v>
      </c>
      <c r="C477" s="7"/>
      <c r="D477" s="7" t="s">
        <v>324</v>
      </c>
      <c r="E477" s="9"/>
      <c r="F477" s="9" t="s">
        <v>302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12.5" customHeight="1">
      <c r="A478" s="8" t="str">
        <f>IMAGE("https://lh3.googleusercontent.com/u/0/d/1ZG2OA4Vra3qH-kfyzerDMO3GXm3llNVr")</f>
        <v/>
      </c>
      <c r="B478" s="7" t="s">
        <v>391</v>
      </c>
      <c r="C478" s="7"/>
      <c r="D478" s="7" t="s">
        <v>324</v>
      </c>
      <c r="E478" s="9"/>
      <c r="F478" s="9" t="s">
        <v>302</v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12.5" customHeight="1">
      <c r="A479" s="8" t="str">
        <f>IMAGE("https://lh3.googleusercontent.com/u/0/d/1fYxZJXTVVBghPXQU8gUYC4PVOHHEjoRF")</f>
        <v/>
      </c>
      <c r="B479" s="7" t="s">
        <v>392</v>
      </c>
      <c r="C479" s="7"/>
      <c r="D479" s="8"/>
      <c r="E479" s="9"/>
      <c r="F479" s="9" t="s">
        <v>302</v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12.5" customHeight="1">
      <c r="A480" s="8" t="str">
        <f>IMAGE("https://lh3.googleusercontent.com/u/0/d/1qMRP0MSy2yzWfnm-iuL5gqIiMCTCU1IQ")</f>
        <v/>
      </c>
      <c r="B480" s="7" t="s">
        <v>393</v>
      </c>
      <c r="C480" s="7"/>
      <c r="D480" s="8"/>
      <c r="E480" s="9"/>
      <c r="F480" s="9" t="s">
        <v>302</v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12.5" customHeight="1">
      <c r="A481" s="8" t="str">
        <f>IMAGE("https://lh3.googleusercontent.com/u/0/d/1gwtIXXoSfv8MG1vjBguoomQWqLnkSv6v")</f>
        <v/>
      </c>
      <c r="B481" s="7" t="s">
        <v>394</v>
      </c>
      <c r="C481" s="7"/>
      <c r="D481" s="8"/>
      <c r="E481" s="9"/>
      <c r="F481" s="9" t="s">
        <v>302</v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12.5" customHeight="1">
      <c r="A482" s="8" t="str">
        <f>IMAGE("https://lh3.googleusercontent.com/u/0/d/18fK73RjLBJU9zDz_j_TktFsQvRZF7Roc")</f>
        <v/>
      </c>
      <c r="B482" s="7" t="s">
        <v>395</v>
      </c>
      <c r="C482" s="7"/>
      <c r="D482" s="8"/>
      <c r="E482" s="9"/>
      <c r="F482" s="9" t="s">
        <v>302</v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12.5" customHeight="1">
      <c r="A483" s="8" t="str">
        <f>IMAGE("https://lh3.googleusercontent.com/u/0/d/17wviCnp94LYco7z9SlsCKmzPArUWVda5")</f>
        <v/>
      </c>
      <c r="B483" s="7" t="s">
        <v>396</v>
      </c>
      <c r="C483" s="7"/>
      <c r="D483" s="7"/>
      <c r="E483" s="9"/>
      <c r="F483" s="9" t="s">
        <v>302</v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12.5" customHeight="1">
      <c r="A484" s="8" t="str">
        <f>IMAGE("https://lh3.googleusercontent.com/u/0/d/1uiogtgXlOrK0njRcjarLbRPfpfQndGvZ")</f>
        <v/>
      </c>
      <c r="B484" s="7" t="s">
        <v>397</v>
      </c>
      <c r="C484" s="7"/>
      <c r="D484" s="7" t="s">
        <v>318</v>
      </c>
      <c r="E484" s="9"/>
      <c r="F484" s="9" t="s">
        <v>302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12.5" customHeight="1">
      <c r="A485" s="8" t="str">
        <f>IMAGE("https://lh3.googleusercontent.com/u/0/d/1cCWxQChP1R8BwQHJNFWaDGBvuZoSoXpp")</f>
        <v/>
      </c>
      <c r="B485" s="7" t="s">
        <v>398</v>
      </c>
      <c r="C485" s="7"/>
      <c r="D485" s="8"/>
      <c r="E485" s="9"/>
      <c r="F485" s="9" t="s">
        <v>302</v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12.5" customHeight="1">
      <c r="A486" s="8" t="str">
        <f>IMAGE("https://lh3.googleusercontent.com/u/0/d/1Kn4nKg4PYVTEOkLw1bKaDhlPoaPNb_RE")</f>
        <v/>
      </c>
      <c r="B486" s="7" t="s">
        <v>399</v>
      </c>
      <c r="C486" s="7"/>
      <c r="D486" s="7"/>
      <c r="E486" s="9"/>
      <c r="F486" s="9" t="s">
        <v>302</v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12.5" customHeight="1">
      <c r="A487" s="8" t="str">
        <f>IMAGE("https://lh3.googleusercontent.com/u/0/d/1lmNHu633yOVRWlxfZTnReA6Wjtj_dtOj")</f>
        <v/>
      </c>
      <c r="B487" s="7" t="s">
        <v>400</v>
      </c>
      <c r="C487" s="7"/>
      <c r="D487" s="7" t="s">
        <v>324</v>
      </c>
      <c r="E487" s="9"/>
      <c r="F487" s="9" t="s">
        <v>302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12.5" customHeight="1">
      <c r="A488" s="8" t="str">
        <f>IMAGE("https://lh3.googleusercontent.com/u/0/d/1IeT7TDS1aSNh8VsbQYfGCDoE7IckbejH")</f>
        <v/>
      </c>
      <c r="B488" s="7" t="s">
        <v>401</v>
      </c>
      <c r="C488" s="7"/>
      <c r="D488" s="7"/>
      <c r="E488" s="9"/>
      <c r="F488" s="9" t="s">
        <v>302</v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12.5" customHeight="1">
      <c r="A489" s="8" t="str">
        <f>IMAGE("https://lh3.googleusercontent.com/u/0/d/1fXQdkBPVa33LZIoqE5YftCC5iB8eif9j")</f>
        <v/>
      </c>
      <c r="B489" s="7" t="s">
        <v>402</v>
      </c>
      <c r="C489" s="7"/>
      <c r="D489" s="7" t="s">
        <v>324</v>
      </c>
      <c r="E489" s="9"/>
      <c r="F489" s="9" t="s">
        <v>302</v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12.5" customHeight="1">
      <c r="A490" s="8" t="str">
        <f>IMAGE("https://lh3.googleusercontent.com/u/0/d/1dmSNuLXUD3nR98DEv5MWBn9ZaE50Lsd_")</f>
        <v/>
      </c>
      <c r="B490" s="7" t="s">
        <v>403</v>
      </c>
      <c r="C490" s="7"/>
      <c r="D490" s="8"/>
      <c r="E490" s="9"/>
      <c r="F490" s="9" t="s">
        <v>302</v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12.5" customHeight="1">
      <c r="A491" s="8" t="str">
        <f>IMAGE("https://lh3.googleusercontent.com/u/0/d/15anMCDn6mxXvzxgu17Q8-xYfeado31GH")</f>
        <v/>
      </c>
      <c r="B491" s="7" t="s">
        <v>404</v>
      </c>
      <c r="C491" s="7"/>
      <c r="D491" s="8"/>
      <c r="E491" s="9"/>
      <c r="F491" s="9" t="s">
        <v>302</v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12.5" customHeight="1">
      <c r="A492" s="8" t="str">
        <f>IMAGE("https://lh3.googleusercontent.com/u/0/d/1gEsxhsYGNkTRxVfWhDeTgjT1pPdk8g2o")</f>
        <v/>
      </c>
      <c r="B492" s="7" t="s">
        <v>405</v>
      </c>
      <c r="C492" s="7"/>
      <c r="D492" s="7"/>
      <c r="E492" s="9"/>
      <c r="F492" s="9" t="s">
        <v>302</v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12.5" customHeight="1">
      <c r="A493" s="8" t="str">
        <f>IMAGE("https://lh3.googleusercontent.com/u/0/d/1kNGgsjP3Ez_-jycgIWsu6wct_uN30GoO")</f>
        <v/>
      </c>
      <c r="B493" s="7" t="s">
        <v>406</v>
      </c>
      <c r="C493" s="7"/>
      <c r="D493" s="7" t="s">
        <v>324</v>
      </c>
      <c r="E493" s="9"/>
      <c r="F493" s="9" t="s">
        <v>302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12.5" customHeight="1">
      <c r="A494" s="8" t="str">
        <f>IMAGE("https://lh3.googleusercontent.com/u/0/d/1lVDD_KEtKDTPNES2fAizuUDWU9p5PVNO")</f>
        <v/>
      </c>
      <c r="B494" s="7" t="s">
        <v>407</v>
      </c>
      <c r="C494" s="7"/>
      <c r="D494" s="7" t="s">
        <v>324</v>
      </c>
      <c r="E494" s="9"/>
      <c r="F494" s="9" t="s">
        <v>302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12.5" customHeight="1">
      <c r="A495" s="8" t="str">
        <f>IMAGE("https://lh3.googleusercontent.com/u/0/d/11xU9mr-cfuva6u9ne3noqWjPDjb1NtBw")</f>
        <v/>
      </c>
      <c r="B495" s="7" t="s">
        <v>408</v>
      </c>
      <c r="C495" s="7"/>
      <c r="D495" s="7" t="s">
        <v>324</v>
      </c>
      <c r="E495" s="9"/>
      <c r="F495" s="9" t="s">
        <v>302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12.5" customHeight="1">
      <c r="A496" s="8" t="str">
        <f>IMAGE("https://lh3.googleusercontent.com/u/0/d/1NMqqIsjt1-Fkp7TQ3lWak_FxfGlq5Sgf")</f>
        <v/>
      </c>
      <c r="B496" s="7" t="s">
        <v>409</v>
      </c>
      <c r="C496" s="7"/>
      <c r="D496" s="7" t="s">
        <v>335</v>
      </c>
      <c r="E496" s="9"/>
      <c r="F496" s="9" t="s">
        <v>302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12.5" customHeight="1">
      <c r="A497" s="8" t="str">
        <f>IMAGE("https://lh3.googleusercontent.com/u/0/d/1C6z8cznbaw-EmnrjFk7z6qyGinf7ZfUh")</f>
        <v/>
      </c>
      <c r="B497" s="7" t="s">
        <v>410</v>
      </c>
      <c r="C497" s="7"/>
      <c r="D497" s="7" t="s">
        <v>318</v>
      </c>
      <c r="E497" s="9"/>
      <c r="F497" s="9" t="s">
        <v>302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12.5" customHeight="1">
      <c r="A498" s="8" t="str">
        <f>IMAGE("https://lh3.googleusercontent.com/u/0/d/1oBKgER7OD_mfU5Ovd7MPzLF1L6StUxPE")</f>
        <v/>
      </c>
      <c r="B498" s="7" t="s">
        <v>411</v>
      </c>
      <c r="C498" s="7"/>
      <c r="D498" s="8"/>
      <c r="E498" s="9"/>
      <c r="F498" s="9" t="s">
        <v>302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12.5" customHeight="1">
      <c r="A499" s="8" t="str">
        <f>IMAGE("https://lh3.googleusercontent.com/u/0/d/1vDE2CYD_NLUeB7QsUFPMWVGw5iWSqvit")</f>
        <v/>
      </c>
      <c r="B499" s="7" t="s">
        <v>412</v>
      </c>
      <c r="C499" s="7"/>
      <c r="D499" s="7"/>
      <c r="E499" s="9"/>
      <c r="F499" s="9" t="s">
        <v>302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12.5" customHeight="1">
      <c r="A500" s="8" t="str">
        <f>IMAGE("https://lh3.googleusercontent.com/u/0/d/14ZDqkl-wnVhzJBg46UNeXiN28Y6yKU2g")</f>
        <v/>
      </c>
      <c r="B500" s="7" t="s">
        <v>413</v>
      </c>
      <c r="C500" s="7"/>
      <c r="D500" s="7" t="s">
        <v>324</v>
      </c>
      <c r="E500" s="9"/>
      <c r="F500" s="9" t="s">
        <v>302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12.5" customHeight="1">
      <c r="A501" s="8" t="str">
        <f>IMAGE("https://lh3.googleusercontent.com/u/0/d/1EX2O12gSEIuQ70l8zSCm4DQV57ahsmy7")</f>
        <v/>
      </c>
      <c r="B501" s="7" t="s">
        <v>414</v>
      </c>
      <c r="C501" s="7"/>
      <c r="D501" s="8"/>
      <c r="E501" s="9"/>
      <c r="F501" s="9" t="s">
        <v>302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12.5" customHeight="1">
      <c r="A502" s="8" t="str">
        <f>IMAGE("https://lh3.googleusercontent.com/u/0/d/1t2-Hbb_9a4EWqu-Utx5EuKYlgcY5rJk7")</f>
        <v/>
      </c>
      <c r="B502" s="7" t="s">
        <v>415</v>
      </c>
      <c r="C502" s="7"/>
      <c r="D502" s="8"/>
      <c r="E502" s="9"/>
      <c r="F502" s="9" t="s">
        <v>302</v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12.5" customHeight="1">
      <c r="A503" s="8" t="str">
        <f>IMAGE("https://lh3.googleusercontent.com/u/0/d/1wbpbTjuVwQ3_eSSCJxDFIcQsp8N5FrsO")</f>
        <v/>
      </c>
      <c r="B503" s="7" t="s">
        <v>416</v>
      </c>
      <c r="C503" s="7"/>
      <c r="D503" s="7"/>
      <c r="E503" s="9"/>
      <c r="F503" s="9" t="s">
        <v>302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12.5" customHeight="1">
      <c r="A504" s="8" t="str">
        <f>IMAGE("https://lh3.googleusercontent.com/u/0/d/1u1Ho1wn2oppQffsiM4wxtxSW7yDusEFr")</f>
        <v/>
      </c>
      <c r="B504" s="7" t="s">
        <v>417</v>
      </c>
      <c r="C504" s="7" t="s">
        <v>418</v>
      </c>
      <c r="D504" s="7" t="s">
        <v>324</v>
      </c>
      <c r="E504" s="9"/>
      <c r="F504" s="9" t="s">
        <v>302</v>
      </c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12.5" customHeight="1">
      <c r="A505" s="8" t="str">
        <f>IMAGE("https://lh3.googleusercontent.com/u/0/d/1zY2nb7BPVnhvIMpPtPhDt3a7W1utT7Kj")</f>
        <v/>
      </c>
      <c r="B505" s="7" t="s">
        <v>419</v>
      </c>
      <c r="C505" s="7"/>
      <c r="D505" s="7" t="s">
        <v>324</v>
      </c>
      <c r="E505" s="9"/>
      <c r="F505" s="9" t="s">
        <v>302</v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12.5" customHeight="1">
      <c r="A506" s="8" t="str">
        <f>IMAGE("https://lh3.googleusercontent.com/u/0/d/1J1Eij5je8W6x2lMm8DetZRTyRhzVpyo2")</f>
        <v/>
      </c>
      <c r="B506" s="7" t="s">
        <v>420</v>
      </c>
      <c r="C506" s="7"/>
      <c r="D506" s="7"/>
      <c r="E506" s="9"/>
      <c r="F506" s="9" t="s">
        <v>302</v>
      </c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12.5" customHeight="1">
      <c r="A507" s="8" t="str">
        <f>IMAGE("https://lh3.googleusercontent.com/u/0/d/1L5OQ68IO8qXEZpG8MUgCBO7aTpV2J2LL")</f>
        <v/>
      </c>
      <c r="B507" s="7" t="s">
        <v>421</v>
      </c>
      <c r="C507" s="7"/>
      <c r="D507" s="7" t="s">
        <v>324</v>
      </c>
      <c r="E507" s="9"/>
      <c r="F507" s="9" t="s">
        <v>302</v>
      </c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12.5" customHeight="1">
      <c r="A508" s="8" t="str">
        <f>IMAGE("https://lh3.googleusercontent.com/u/0/d/1KMcSNfYOC8Vjx16fZ8SfIq5w1nd56RRA")</f>
        <v/>
      </c>
      <c r="B508" s="7" t="s">
        <v>422</v>
      </c>
      <c r="C508" s="7"/>
      <c r="D508" s="8"/>
      <c r="E508" s="9"/>
      <c r="F508" s="9" t="s">
        <v>302</v>
      </c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12.5" customHeight="1">
      <c r="A509" s="8" t="str">
        <f>IMAGE("https://lh3.googleusercontent.com/u/0/d/1yZUkrdy8sXY1SB6_Uq0oD33OeGKhE9WF")</f>
        <v/>
      </c>
      <c r="B509" s="7" t="s">
        <v>423</v>
      </c>
      <c r="C509" s="7"/>
      <c r="D509" s="8"/>
      <c r="E509" s="9"/>
      <c r="F509" s="9" t="s">
        <v>302</v>
      </c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12.5" customHeight="1">
      <c r="A510" s="8" t="str">
        <f>IMAGE("https://lh3.googleusercontent.com/u/0/d/14JK-DrnRAaJ9CmTHRc8vSGR1SHHZFYPh")</f>
        <v/>
      </c>
      <c r="B510" s="7" t="s">
        <v>424</v>
      </c>
      <c r="C510" s="7"/>
      <c r="D510" s="7"/>
      <c r="E510" s="9"/>
      <c r="F510" s="9" t="s">
        <v>302</v>
      </c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12.5" customHeight="1">
      <c r="A511" s="8" t="str">
        <f>IMAGE("https://lh3.googleusercontent.com/u/0/d/16PrYDCOBAQESz5Fc1aBHSBtAnhTJ_bmE")</f>
        <v/>
      </c>
      <c r="B511" s="7" t="s">
        <v>425</v>
      </c>
      <c r="C511" s="7"/>
      <c r="D511" s="7" t="s">
        <v>318</v>
      </c>
      <c r="E511" s="9"/>
      <c r="F511" s="9" t="s">
        <v>302</v>
      </c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12.5" customHeight="1">
      <c r="A512" s="8" t="str">
        <f>IMAGE("https://lh3.googleusercontent.com/u/0/d/1wt_OVpZ6yfgei3FELnnLFpUP4xrZW0BG")</f>
        <v/>
      </c>
      <c r="B512" s="7" t="s">
        <v>426</v>
      </c>
      <c r="C512" s="7"/>
      <c r="D512" s="7" t="s">
        <v>318</v>
      </c>
      <c r="E512" s="9"/>
      <c r="F512" s="9" t="s">
        <v>302</v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12.5" customHeight="1">
      <c r="A513" s="8" t="str">
        <f>IMAGE("https://lh3.googleusercontent.com/u/0/d/154M9da3fxAYCnnqys-Qfu3tDbNqfMgF6")</f>
        <v/>
      </c>
      <c r="B513" s="7" t="s">
        <v>427</v>
      </c>
      <c r="C513" s="7"/>
      <c r="D513" s="7" t="s">
        <v>318</v>
      </c>
      <c r="E513" s="9"/>
      <c r="F513" s="9" t="s">
        <v>302</v>
      </c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12.5" customHeight="1">
      <c r="A514" s="8" t="str">
        <f>IMAGE("https://lh3.googleusercontent.com/u/0/d/17sxj6R3NrHUMGit_oc0Rh0cVVkuOTMsY")</f>
        <v/>
      </c>
      <c r="B514" s="7" t="s">
        <v>428</v>
      </c>
      <c r="C514" s="7"/>
      <c r="D514" s="8"/>
      <c r="E514" s="9"/>
      <c r="F514" s="9" t="s">
        <v>302</v>
      </c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12.5" customHeight="1">
      <c r="A515" s="8" t="str">
        <f>IMAGE("https://lh3.googleusercontent.com/u/0/d/1q2dzdcq3zcY9RL95lYtred2rMhGGtmCb")</f>
        <v/>
      </c>
      <c r="B515" s="7" t="s">
        <v>429</v>
      </c>
      <c r="C515" s="7"/>
      <c r="D515" s="8"/>
      <c r="E515" s="9"/>
      <c r="F515" s="9" t="s">
        <v>302</v>
      </c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12.5" customHeight="1">
      <c r="A516" s="8" t="str">
        <f>IMAGE("https://lh3.googleusercontent.com/u/0/d/1bfuUtqHKXSu6k_2PTiXt7TDMWLmosz2n")</f>
        <v/>
      </c>
      <c r="B516" s="7" t="s">
        <v>430</v>
      </c>
      <c r="C516" s="7"/>
      <c r="D516" s="8"/>
      <c r="E516" s="9"/>
      <c r="F516" s="9" t="s">
        <v>302</v>
      </c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12.5" customHeight="1">
      <c r="A517" s="8" t="str">
        <f>IMAGE("https://lh3.googleusercontent.com/u/0/d/1-Z1aynqyK0IJwZLeCMrk5Rfc7OqsQ-U9")</f>
        <v/>
      </c>
      <c r="B517" s="7" t="s">
        <v>431</v>
      </c>
      <c r="C517" s="7"/>
      <c r="D517" s="8"/>
      <c r="E517" s="9"/>
      <c r="F517" s="9" t="s">
        <v>302</v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12.5" customHeight="1">
      <c r="A518" s="8" t="str">
        <f>IMAGE("https://lh3.googleusercontent.com/u/0/d/1V9S7w25ylLzycKpgId-OBZHSULkVy6Kh")</f>
        <v/>
      </c>
      <c r="B518" s="7" t="s">
        <v>432</v>
      </c>
      <c r="C518" s="7"/>
      <c r="D518" s="8"/>
      <c r="E518" s="9"/>
      <c r="F518" s="9" t="s">
        <v>302</v>
      </c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12.5" customHeight="1">
      <c r="A519" s="8" t="str">
        <f>IMAGE("https://lh3.googleusercontent.com/u/0/d/1xWwiHEs8qQj_HIzW8y0BMKiOMwSa1H1g")</f>
        <v/>
      </c>
      <c r="B519" s="7" t="s">
        <v>433</v>
      </c>
      <c r="C519" s="7"/>
      <c r="D519" s="7"/>
      <c r="E519" s="9"/>
      <c r="F519" s="9" t="s">
        <v>302</v>
      </c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12.5" customHeight="1">
      <c r="A520" s="8" t="str">
        <f>IMAGE("https://lh3.googleusercontent.com/u/0/d/1bjrpa_Ay2xZElfVOClvv7FgnvxctQ0MP")</f>
        <v/>
      </c>
      <c r="B520" s="7" t="s">
        <v>434</v>
      </c>
      <c r="C520" s="7"/>
      <c r="D520" s="7" t="s">
        <v>318</v>
      </c>
      <c r="E520" s="9"/>
      <c r="F520" s="9" t="s">
        <v>302</v>
      </c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12.5" customHeight="1">
      <c r="A521" s="8" t="str">
        <f>IMAGE("https://lh3.googleusercontent.com/u/0/d/1YimsDm7cln4Injyni4qfKQTityvozUti")</f>
        <v/>
      </c>
      <c r="B521" s="7" t="s">
        <v>435</v>
      </c>
      <c r="C521" s="7"/>
      <c r="D521" s="7" t="s">
        <v>318</v>
      </c>
      <c r="E521" s="9"/>
      <c r="F521" s="9" t="s">
        <v>302</v>
      </c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12.5" customHeight="1">
      <c r="A522" s="8" t="str">
        <f>IMAGE("https://lh3.googleusercontent.com/u/0/d/1zOCHBly5MncQiE946NNTPFHKWb0JOt_C")</f>
        <v/>
      </c>
      <c r="B522" s="7" t="s">
        <v>436</v>
      </c>
      <c r="C522" s="7"/>
      <c r="D522" s="7" t="s">
        <v>335</v>
      </c>
      <c r="E522" s="9"/>
      <c r="F522" s="9" t="s">
        <v>302</v>
      </c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12.5" customHeight="1">
      <c r="A523" s="8" t="str">
        <f>IMAGE("https://lh3.googleusercontent.com/u/0/d/1EAFPcCm_TdWrtkKq3-80z96rtgvqORbJ")</f>
        <v/>
      </c>
      <c r="B523" s="7" t="s">
        <v>437</v>
      </c>
      <c r="C523" s="7"/>
      <c r="D523" s="7" t="s">
        <v>335</v>
      </c>
      <c r="E523" s="9"/>
      <c r="F523" s="9" t="s">
        <v>302</v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12.5" customHeight="1">
      <c r="A524" s="8" t="str">
        <f>IMAGE("https://lh3.googleusercontent.com/u/0/d/1PKdDPKn3Ka4NOuPwUYnVTq3ZHbfzEYSs")</f>
        <v/>
      </c>
      <c r="B524" s="7" t="s">
        <v>438</v>
      </c>
      <c r="C524" s="7"/>
      <c r="D524" s="8"/>
      <c r="E524" s="9"/>
      <c r="F524" s="9" t="s">
        <v>302</v>
      </c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12.5" customHeight="1">
      <c r="A525" s="8" t="str">
        <f>IMAGE("https://lh3.googleusercontent.com/u/0/d/1OmwCjsqbvIWqaua71G8cuMqjl39lCcph")</f>
        <v/>
      </c>
      <c r="B525" s="7" t="s">
        <v>439</v>
      </c>
      <c r="C525" s="7"/>
      <c r="D525" s="8"/>
      <c r="E525" s="9"/>
      <c r="F525" s="9" t="s">
        <v>302</v>
      </c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12.5" customHeight="1">
      <c r="A526" s="8" t="str">
        <f>IMAGE("https://lh3.googleusercontent.com/u/0/d/1_MjwhfmY1iAUi49qnOMo6sZj3wtsMSF5")</f>
        <v/>
      </c>
      <c r="B526" s="7" t="s">
        <v>440</v>
      </c>
      <c r="C526" s="7"/>
      <c r="D526" s="7"/>
      <c r="E526" s="9"/>
      <c r="F526" s="9" t="s">
        <v>302</v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12.5" customHeight="1">
      <c r="A527" s="8" t="str">
        <f>IMAGE("https://lh3.googleusercontent.com/u/0/d/1LWUsuZtZiQQOMn6zKz8i2ZCoJwNfdN2m")</f>
        <v/>
      </c>
      <c r="B527" s="7" t="s">
        <v>441</v>
      </c>
      <c r="C527" s="7"/>
      <c r="D527" s="7" t="s">
        <v>324</v>
      </c>
      <c r="E527" s="9"/>
      <c r="F527" s="9" t="s">
        <v>302</v>
      </c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12.5" customHeight="1">
      <c r="A528" s="8" t="str">
        <f>IMAGE("https://lh3.googleusercontent.com/u/0/d/1uC8r9-1XlmSaoSpDwzMRz3vAF02RFBJt")</f>
        <v/>
      </c>
      <c r="B528" s="7" t="s">
        <v>442</v>
      </c>
      <c r="C528" s="7"/>
      <c r="D528" s="8"/>
      <c r="E528" s="9"/>
      <c r="F528" s="9" t="s">
        <v>302</v>
      </c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12.5" customHeight="1">
      <c r="A529" s="8" t="str">
        <f>IMAGE("https://lh3.googleusercontent.com/u/0/d/1JRH3Wrmx8PLo-yi-HmYWvQ1cwEkj_f3e")</f>
        <v/>
      </c>
      <c r="B529" s="7" t="s">
        <v>443</v>
      </c>
      <c r="C529" s="7"/>
      <c r="D529" s="7"/>
      <c r="E529" s="9"/>
      <c r="F529" s="9" t="s">
        <v>302</v>
      </c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12.5" customHeight="1">
      <c r="A530" s="8" t="str">
        <f>IMAGE("https://lh3.googleusercontent.com/u/0/d/1uD43wUD6pMdL-6_B-eagwpvIxW_P3B8F")</f>
        <v/>
      </c>
      <c r="B530" s="9" t="s">
        <v>444</v>
      </c>
      <c r="C530" s="7"/>
      <c r="D530" s="7"/>
      <c r="E530" s="9"/>
      <c r="F530" s="9" t="s">
        <v>445</v>
      </c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12.5" customHeight="1">
      <c r="A531" s="8" t="str">
        <f>IMAGE("https://lh3.googleusercontent.com/u/0/d/1jI-HeMZCUpvxr1iYGUgIJaTIDT1hUFVp")</f>
        <v/>
      </c>
      <c r="B531" s="9" t="s">
        <v>446</v>
      </c>
      <c r="C531" s="7"/>
      <c r="D531" s="7"/>
      <c r="E531" s="9"/>
      <c r="F531" s="9" t="s">
        <v>445</v>
      </c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12.5" customHeight="1">
      <c r="A532" s="8" t="str">
        <f>IMAGE("https://lh3.googleusercontent.com/u/0/d/1j2xG26lWRglG7Pi4yIDwOHstzFOCo1--")</f>
        <v/>
      </c>
      <c r="B532" s="9" t="s">
        <v>447</v>
      </c>
      <c r="C532" s="7"/>
      <c r="D532" s="7"/>
      <c r="E532" s="9"/>
      <c r="F532" s="9" t="s">
        <v>445</v>
      </c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12.5" customHeight="1">
      <c r="A533" s="8" t="str">
        <f>IMAGE("https://lh3.googleusercontent.com/u/0/d/1WrAEQGNpGh8Sc3t73PtQkGnQCOlqgSfv")</f>
        <v/>
      </c>
      <c r="B533" s="9" t="s">
        <v>448</v>
      </c>
      <c r="C533" s="7"/>
      <c r="D533" s="7"/>
      <c r="E533" s="9"/>
      <c r="F533" s="9" t="s">
        <v>445</v>
      </c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12.5" customHeight="1">
      <c r="A534" s="8" t="str">
        <f>IMAGE("https://lh3.googleusercontent.com/u/0/d/1eOWQgWsIcfkGCAE-nCSIuR02HJDHVqEL")</f>
        <v/>
      </c>
      <c r="B534" s="9" t="s">
        <v>449</v>
      </c>
      <c r="C534" s="7"/>
      <c r="D534" s="7"/>
      <c r="E534" s="9"/>
      <c r="F534" s="9" t="s">
        <v>445</v>
      </c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12.5" customHeight="1">
      <c r="A535" s="8" t="str">
        <f>IMAGE("https://lh3.googleusercontent.com/u/0/d/11j_9PXc4Ifcsiyr7Mm80ylWhOt753fUj")</f>
        <v/>
      </c>
      <c r="B535" s="9" t="s">
        <v>450</v>
      </c>
      <c r="C535" s="7"/>
      <c r="D535" s="7"/>
      <c r="E535" s="9"/>
      <c r="F535" s="9" t="s">
        <v>445</v>
      </c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12.5" customHeight="1">
      <c r="A536" s="8" t="str">
        <f>IMAGE("https://lh3.googleusercontent.com/u/0/d/10R8YeeaDza_snkmCbal7eAsd-9Ba6wss")</f>
        <v/>
      </c>
      <c r="B536" s="9" t="s">
        <v>451</v>
      </c>
      <c r="C536" s="7"/>
      <c r="D536" s="8"/>
      <c r="E536" s="9"/>
      <c r="F536" s="9" t="s">
        <v>445</v>
      </c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12.5" customHeight="1">
      <c r="A537" s="8" t="str">
        <f>IMAGE("https://lh3.googleusercontent.com/u/0/d/1vjtCfxSzaj0Fulrixye1tXJDOH_Go_De")</f>
        <v/>
      </c>
      <c r="B537" s="9" t="s">
        <v>452</v>
      </c>
      <c r="C537" s="7"/>
      <c r="D537" s="8"/>
      <c r="E537" s="9"/>
      <c r="F537" s="9" t="s">
        <v>445</v>
      </c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12.5" customHeight="1">
      <c r="A538" s="8" t="str">
        <f>IMAGE("https://lh3.googleusercontent.com/u/0/d/13O5owkmJcaU0gyTzWDrqw4V83JZxX39B")</f>
        <v/>
      </c>
      <c r="B538" s="9" t="s">
        <v>453</v>
      </c>
      <c r="C538" s="7"/>
      <c r="D538" s="8"/>
      <c r="E538" s="9"/>
      <c r="F538" s="9" t="s">
        <v>445</v>
      </c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12.5" customHeight="1">
      <c r="A539" s="8" t="str">
        <f>IMAGE("https://lh3.googleusercontent.com/u/0/d/1aLKm7LPsHAsRxRaU39XVBBPG1edHZOcG")</f>
        <v/>
      </c>
      <c r="B539" s="9" t="s">
        <v>454</v>
      </c>
      <c r="C539" s="7"/>
      <c r="D539" s="7"/>
      <c r="E539" s="9"/>
      <c r="F539" s="9" t="s">
        <v>445</v>
      </c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12.5" customHeight="1">
      <c r="A540" s="8" t="str">
        <f>IMAGE("https://lh3.googleusercontent.com/u/0/d/1Gdjwme2iF5JUMlVSsmaZRAodJPm-AEX1")</f>
        <v/>
      </c>
      <c r="B540" s="9" t="s">
        <v>455</v>
      </c>
      <c r="C540" s="7"/>
      <c r="D540" s="8"/>
      <c r="E540" s="9"/>
      <c r="F540" s="9" t="s">
        <v>445</v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12.5" customHeight="1">
      <c r="A541" s="8" t="str">
        <f>IMAGE("https://lh3.googleusercontent.com/u/0/d/1g3SFShhUZiMFycATUHWbZdIsit94Tf-P")</f>
        <v/>
      </c>
      <c r="B541" s="9" t="s">
        <v>456</v>
      </c>
      <c r="C541" s="7"/>
      <c r="D541" s="7"/>
      <c r="E541" s="9"/>
      <c r="F541" s="9" t="s">
        <v>445</v>
      </c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12.5" customHeight="1">
      <c r="A542" s="8" t="str">
        <f>IMAGE("https://lh3.googleusercontent.com/u/0/d/1RoENu9OZzu1idLQ4_cdMK4xtM-3fPKoz")</f>
        <v/>
      </c>
      <c r="B542" s="9" t="s">
        <v>457</v>
      </c>
      <c r="C542" s="7"/>
      <c r="D542" s="8"/>
      <c r="E542" s="9"/>
      <c r="F542" s="9" t="s">
        <v>445</v>
      </c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12.5" customHeight="1">
      <c r="A543" s="8" t="str">
        <f>IMAGE("https://lh3.googleusercontent.com/u/0/d/14QON_tGo5I0IVznMzFkCjHRP9uiV5M_v")</f>
        <v/>
      </c>
      <c r="B543" s="9" t="s">
        <v>458</v>
      </c>
      <c r="C543" s="7"/>
      <c r="D543" s="8"/>
      <c r="E543" s="9"/>
      <c r="F543" s="9" t="s">
        <v>445</v>
      </c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12.5" customHeight="1">
      <c r="A544" s="8" t="str">
        <f>IMAGE("https://lh3.googleusercontent.com/u/0/d/1d0o2SVVQp-FVPx1Jb7ISjKCbwbRE2fOW")</f>
        <v/>
      </c>
      <c r="B544" s="9" t="s">
        <v>459</v>
      </c>
      <c r="C544" s="7"/>
      <c r="D544" s="8"/>
      <c r="E544" s="9"/>
      <c r="F544" s="9" t="s">
        <v>445</v>
      </c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12.5" customHeight="1">
      <c r="A545" s="8" t="str">
        <f>IMAGE("https://lh3.googleusercontent.com/u/0/d/1db1NgI_gIPFplBIHwgtPz08ixkyelKrV")</f>
        <v/>
      </c>
      <c r="B545" s="9" t="s">
        <v>460</v>
      </c>
      <c r="C545" s="7"/>
      <c r="D545" s="8"/>
      <c r="E545" s="9"/>
      <c r="F545" s="9" t="s">
        <v>445</v>
      </c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12.5" customHeight="1">
      <c r="A546" s="8" t="str">
        <f>IMAGE("https://lh3.googleusercontent.com/u/0/d/1SdmnhWX_o6nsZJEXdmMSuZFLzpi4W8T3")</f>
        <v/>
      </c>
      <c r="B546" s="9" t="s">
        <v>461</v>
      </c>
      <c r="C546" s="7"/>
      <c r="D546" s="8"/>
      <c r="E546" s="9"/>
      <c r="F546" s="9" t="s">
        <v>445</v>
      </c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12.5" customHeight="1">
      <c r="A547" s="8" t="str">
        <f>IMAGE("https://lh3.googleusercontent.com/u/0/d/1p7cj1hlyjjAYULeZETyH6eF6tRt-k-PX")</f>
        <v/>
      </c>
      <c r="B547" s="9" t="s">
        <v>462</v>
      </c>
      <c r="C547" s="7"/>
      <c r="D547" s="8"/>
      <c r="E547" s="9"/>
      <c r="F547" s="9" t="s">
        <v>445</v>
      </c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12.5" customHeight="1">
      <c r="A548" s="8" t="str">
        <f>IMAGE("https://lh3.googleusercontent.com/u/0/d/1FLEvhanD3rCluuMrra5tL1pZq0nw60W2")</f>
        <v/>
      </c>
      <c r="B548" s="9" t="s">
        <v>463</v>
      </c>
      <c r="C548" s="7"/>
      <c r="D548" s="8"/>
      <c r="E548" s="9"/>
      <c r="F548" s="9" t="s">
        <v>445</v>
      </c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12.5" customHeight="1">
      <c r="A549" s="8" t="str">
        <f>IMAGE("https://lh3.googleusercontent.com/u/0/d/1mXuYcgd1mbeogk02eWQ1P25DRJZKrKb_")</f>
        <v/>
      </c>
      <c r="B549" s="9" t="s">
        <v>464</v>
      </c>
      <c r="C549" s="7"/>
      <c r="D549" s="8"/>
      <c r="E549" s="9"/>
      <c r="F549" s="9" t="s">
        <v>445</v>
      </c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12.5" customHeight="1">
      <c r="A550" s="8" t="str">
        <f>IMAGE("https://lh3.googleusercontent.com/u/0/d/1BrqnbCKVReK45ylFpmkzfdIHpNapaTFZ")</f>
        <v/>
      </c>
      <c r="B550" s="9" t="s">
        <v>465</v>
      </c>
      <c r="C550" s="7"/>
      <c r="D550" s="8"/>
      <c r="E550" s="9"/>
      <c r="F550" s="9" t="s">
        <v>445</v>
      </c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12.5" customHeight="1">
      <c r="A551" s="8" t="str">
        <f>IMAGE("https://lh3.googleusercontent.com/u/0/d/1DbKxC2wmmSBqW6RUHfnzpHeJZoFYtBaQ")</f>
        <v/>
      </c>
      <c r="B551" s="9" t="s">
        <v>466</v>
      </c>
      <c r="C551" s="7"/>
      <c r="D551" s="8"/>
      <c r="E551" s="9"/>
      <c r="F551" s="9" t="s">
        <v>445</v>
      </c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12.5" customHeight="1">
      <c r="A552" s="8" t="str">
        <f>IMAGE("https://lh3.googleusercontent.com/u/0/d/1bP8wPaDJeJ-4Ns2J33HeOHZQ1WPWjGJb")</f>
        <v/>
      </c>
      <c r="B552" s="9" t="s">
        <v>467</v>
      </c>
      <c r="C552" s="7"/>
      <c r="D552" s="7"/>
      <c r="E552" s="9"/>
      <c r="F552" s="9" t="s">
        <v>445</v>
      </c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12.5" customHeight="1">
      <c r="A553" s="8" t="str">
        <f>IMAGE("https://lh3.googleusercontent.com/u/0/d/10djAfhwZYRCSpHObvMoIfEh27zluFC43")</f>
        <v/>
      </c>
      <c r="B553" s="9" t="s">
        <v>468</v>
      </c>
      <c r="C553" s="7"/>
      <c r="D553" s="8"/>
      <c r="E553" s="9"/>
      <c r="F553" s="9" t="s">
        <v>445</v>
      </c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12.5" customHeight="1">
      <c r="A554" s="8" t="str">
        <f>IMAGE("https://lh3.googleusercontent.com/u/0/d/1brn2-F4Osa9VMXs3OpoaEiKK4I2h14uQ")</f>
        <v/>
      </c>
      <c r="B554" s="9" t="s">
        <v>469</v>
      </c>
      <c r="C554" s="7"/>
      <c r="D554" s="8"/>
      <c r="E554" s="9"/>
      <c r="F554" s="9" t="s">
        <v>445</v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12.5" customHeight="1">
      <c r="A555" s="8" t="str">
        <f>IMAGE("https://lh3.googleusercontent.com/u/0/d/1zrxRkPFsiHO_NaRCRta2NeALrKzu-Xir")</f>
        <v/>
      </c>
      <c r="B555" s="9" t="s">
        <v>470</v>
      </c>
      <c r="C555" s="7"/>
      <c r="D555" s="8"/>
      <c r="E555" s="9"/>
      <c r="F555" s="9" t="s">
        <v>445</v>
      </c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12.5" customHeight="1">
      <c r="A556" s="8" t="str">
        <f>IMAGE("https://lh3.googleusercontent.com/u/0/d/1fWYw4627Jtq9BDSKPsuTflVBmP9Ggsc6")</f>
        <v/>
      </c>
      <c r="B556" s="9" t="s">
        <v>471</v>
      </c>
      <c r="C556" s="7"/>
      <c r="D556" s="7"/>
      <c r="E556" s="9"/>
      <c r="F556" s="9" t="s">
        <v>445</v>
      </c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12.5" customHeight="1">
      <c r="A557" s="8" t="str">
        <f>IMAGE("https://lh3.googleusercontent.com/u/0/d/1J1aN-8RNfZo05P6xz_vhyUjH6xndT1Iu")</f>
        <v/>
      </c>
      <c r="B557" s="9" t="s">
        <v>472</v>
      </c>
      <c r="C557" s="7"/>
      <c r="D557" s="8"/>
      <c r="E557" s="9"/>
      <c r="F557" s="9" t="s">
        <v>445</v>
      </c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12.5" customHeight="1">
      <c r="A558" s="8" t="str">
        <f>IMAGE("https://lh3.googleusercontent.com/u/0/d/1Mn76bs6c0Avdq1unou2Xdvn6jqv3_XzO")</f>
        <v/>
      </c>
      <c r="B558" s="9" t="s">
        <v>473</v>
      </c>
      <c r="C558" s="7"/>
      <c r="D558" s="8"/>
      <c r="E558" s="9"/>
      <c r="F558" s="9" t="s">
        <v>445</v>
      </c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12.5" customHeight="1">
      <c r="A559" s="8" t="str">
        <f>IMAGE("https://lh3.googleusercontent.com/u/0/d/1pKaYpq3j18rPbf2LXEDuv7aabbOvfy6D")</f>
        <v/>
      </c>
      <c r="B559" s="9" t="s">
        <v>474</v>
      </c>
      <c r="C559" s="7"/>
      <c r="D559" s="8"/>
      <c r="E559" s="9"/>
      <c r="F559" s="9" t="s">
        <v>445</v>
      </c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12.5" customHeight="1">
      <c r="A560" s="8" t="str">
        <f>IMAGE("https://lh3.googleusercontent.com/u/0/d/1yxYTHGTovlgblC-8Kvd8gu1UOz747OqH")</f>
        <v/>
      </c>
      <c r="B560" s="9" t="s">
        <v>475</v>
      </c>
      <c r="C560" s="7"/>
      <c r="D560" s="8"/>
      <c r="E560" s="9"/>
      <c r="F560" s="9" t="s">
        <v>445</v>
      </c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12.5" customHeight="1">
      <c r="A561" s="8" t="str">
        <f>IMAGE("https://lh3.googleusercontent.com/u/0/d/1UHe-2bvXB07HoQllTMP9o3qFMuMnQtIT")</f>
        <v/>
      </c>
      <c r="B561" s="9" t="s">
        <v>476</v>
      </c>
      <c r="C561" s="7"/>
      <c r="D561" s="8"/>
      <c r="E561" s="9"/>
      <c r="F561" s="9" t="s">
        <v>445</v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12.5" customHeight="1">
      <c r="A562" s="8" t="str">
        <f>IMAGE("https://lh3.googleusercontent.com/u/0/d/17avydUmnMkpN4jNx5IZKDEwLMy9D1A-_")</f>
        <v/>
      </c>
      <c r="B562" s="9" t="s">
        <v>477</v>
      </c>
      <c r="C562" s="7"/>
      <c r="D562" s="8"/>
      <c r="E562" s="9"/>
      <c r="F562" s="9" t="s">
        <v>445</v>
      </c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12.5" customHeight="1">
      <c r="A563" s="8" t="str">
        <f>IMAGE("https://lh3.googleusercontent.com/u/0/d/1XuanZwwbK_1qSGiUgilovU1s6grDlffX")</f>
        <v/>
      </c>
      <c r="B563" s="9" t="s">
        <v>478</v>
      </c>
      <c r="C563" s="7"/>
      <c r="D563" s="8"/>
      <c r="E563" s="9"/>
      <c r="F563" s="9" t="s">
        <v>445</v>
      </c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12.5" customHeight="1">
      <c r="A564" s="8" t="str">
        <f>IMAGE("https://lh3.googleusercontent.com/u/0/d/1rKbQPjwIyiU51CevR1_gBU6LJs4POgn9")</f>
        <v/>
      </c>
      <c r="B564" s="9" t="s">
        <v>479</v>
      </c>
      <c r="C564" s="7"/>
      <c r="D564" s="8"/>
      <c r="E564" s="9"/>
      <c r="F564" s="9" t="s">
        <v>445</v>
      </c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12.5" customHeight="1">
      <c r="A565" s="8" t="str">
        <f>IMAGE("https://lh3.googleusercontent.com/u/0/d/1cbTwXW4-CrvWPbNhXsp_cNxt_G0_1bPP")</f>
        <v/>
      </c>
      <c r="B565" s="9" t="s">
        <v>480</v>
      </c>
      <c r="C565" s="7"/>
      <c r="D565" s="8"/>
      <c r="E565" s="9"/>
      <c r="F565" s="9" t="s">
        <v>445</v>
      </c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12.5" customHeight="1">
      <c r="A566" s="8" t="str">
        <f>IMAGE("https://lh3.googleusercontent.com/u/0/d/1-GEQ-ZH4hL-7HxflMD25Vmymb1PBCWPG")</f>
        <v/>
      </c>
      <c r="B566" s="9" t="s">
        <v>481</v>
      </c>
      <c r="C566" s="7"/>
      <c r="D566" s="8"/>
      <c r="E566" s="9"/>
      <c r="F566" s="9" t="s">
        <v>445</v>
      </c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12.5" customHeight="1">
      <c r="A567" s="8" t="str">
        <f>IMAGE("https://lh3.googleusercontent.com/u/0/d/1wLi6RQf6Sso0CR5sAtjFmY7h3tOFdTxK")</f>
        <v/>
      </c>
      <c r="B567" s="9" t="s">
        <v>482</v>
      </c>
      <c r="C567" s="7"/>
      <c r="D567" s="8"/>
      <c r="E567" s="9"/>
      <c r="F567" s="9" t="s">
        <v>445</v>
      </c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12.5" customHeight="1">
      <c r="A568" s="8" t="str">
        <f>IMAGE("https://lh3.googleusercontent.com/u/0/d/1b1StXn7TZcOtpypFro4hgLZ1YYka7_H4")</f>
        <v/>
      </c>
      <c r="B568" s="9" t="s">
        <v>483</v>
      </c>
      <c r="C568" s="7"/>
      <c r="D568" s="8"/>
      <c r="E568" s="9"/>
      <c r="F568" s="9" t="s">
        <v>445</v>
      </c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12.5" customHeight="1">
      <c r="A569" s="8" t="str">
        <f>IMAGE("https://lh3.googleusercontent.com/u/0/d/1lgWJW5LUN1bmlBkJ5slm1p4rDKKmE58G")</f>
        <v/>
      </c>
      <c r="B569" s="9" t="s">
        <v>484</v>
      </c>
      <c r="C569" s="7"/>
      <c r="D569" s="8"/>
      <c r="E569" s="9"/>
      <c r="F569" s="9" t="s">
        <v>445</v>
      </c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12.5" customHeight="1">
      <c r="A570" s="8" t="str">
        <f>IMAGE("https://lh3.googleusercontent.com/u/0/d/1sjDGJyvlfmSY-M4fuI6k2xdDENyrjMAV")</f>
        <v/>
      </c>
      <c r="B570" s="9" t="s">
        <v>485</v>
      </c>
      <c r="C570" s="7"/>
      <c r="D570" s="8"/>
      <c r="E570" s="9"/>
      <c r="F570" s="9" t="s">
        <v>445</v>
      </c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12.5" customHeight="1">
      <c r="A571" s="8" t="str">
        <f>IMAGE("https://lh3.googleusercontent.com/u/0/d/1UaZ73JFev4U-HROMcGWVvFWrKHm0qX0M")</f>
        <v/>
      </c>
      <c r="B571" s="9" t="s">
        <v>486</v>
      </c>
      <c r="C571" s="7"/>
      <c r="D571" s="8"/>
      <c r="E571" s="9"/>
      <c r="F571" s="9" t="s">
        <v>445</v>
      </c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12.5" customHeight="1">
      <c r="A572" s="8" t="str">
        <f>IMAGE("https://lh3.googleusercontent.com/u/0/d/1HmhDW9Jg2kIY_L9YMZa0mxafDSQJR0XL")</f>
        <v/>
      </c>
      <c r="B572" s="9" t="s">
        <v>487</v>
      </c>
      <c r="C572" s="7"/>
      <c r="D572" s="8"/>
      <c r="E572" s="9"/>
      <c r="F572" s="9" t="s">
        <v>445</v>
      </c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12.5" customHeight="1">
      <c r="A573" s="8" t="str">
        <f>IMAGE("https://lh3.googleusercontent.com/u/0/d/1lxTfVkEYf3LDuyVpsTQVJ79eVkjF32R_")</f>
        <v/>
      </c>
      <c r="B573" s="9" t="s">
        <v>488</v>
      </c>
      <c r="C573" s="7"/>
      <c r="D573" s="7"/>
      <c r="E573" s="9"/>
      <c r="F573" s="9" t="s">
        <v>445</v>
      </c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12.5" customHeight="1">
      <c r="A574" s="8" t="str">
        <f>IMAGE("https://lh3.googleusercontent.com/u/0/d/17_iqtQpU50XhW0CRRkn4kBVCKepPdeyC")</f>
        <v/>
      </c>
      <c r="B574" s="9" t="s">
        <v>489</v>
      </c>
      <c r="C574" s="7"/>
      <c r="D574" s="8"/>
      <c r="E574" s="9"/>
      <c r="F574" s="9" t="s">
        <v>445</v>
      </c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12.5" customHeight="1">
      <c r="A575" s="8" t="str">
        <f>IMAGE("https://lh3.googleusercontent.com/u/0/d/18aDKmQ4XQ9IPuScRAuksYLvBZo_c9llD")</f>
        <v/>
      </c>
      <c r="B575" s="9" t="s">
        <v>490</v>
      </c>
      <c r="C575" s="7"/>
      <c r="D575" s="8"/>
      <c r="E575" s="9"/>
      <c r="F575" s="9" t="s">
        <v>445</v>
      </c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12.5" customHeight="1">
      <c r="A576" s="8" t="str">
        <f>IMAGE("https://lh3.googleusercontent.com/u/0/d/1H57PTn0lrr4a0c_K5upTapGDnGOOxumu")</f>
        <v/>
      </c>
      <c r="B576" s="9" t="s">
        <v>491</v>
      </c>
      <c r="C576" s="7"/>
      <c r="D576" s="8"/>
      <c r="E576" s="9"/>
      <c r="F576" s="9" t="s">
        <v>445</v>
      </c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12.5" customHeight="1">
      <c r="A577" s="8" t="str">
        <f>IMAGE("https://lh3.googleusercontent.com/u/0/d/1ZimM189QonhgfPaAvIQs8u9QP7I-JeZt")</f>
        <v/>
      </c>
      <c r="B577" s="9" t="s">
        <v>492</v>
      </c>
      <c r="C577" s="7"/>
      <c r="D577" s="8"/>
      <c r="E577" s="9"/>
      <c r="F577" s="9" t="s">
        <v>445</v>
      </c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12.5" customHeight="1">
      <c r="A578" s="8" t="str">
        <f>IMAGE("https://lh3.googleusercontent.com/u/0/d/1bpUyseMv8iL-db72xZOn5-GHljs0Y_eI")</f>
        <v/>
      </c>
      <c r="B578" s="9" t="s">
        <v>493</v>
      </c>
      <c r="C578" s="7"/>
      <c r="D578" s="8"/>
      <c r="E578" s="9"/>
      <c r="F578" s="9" t="s">
        <v>445</v>
      </c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12.5" customHeight="1">
      <c r="A579" s="8" t="str">
        <f>IMAGE("https://lh3.googleusercontent.com/u/0/d/18mcER3TOHfm9-tZ0eBg5pAYz0cqaf77Y")</f>
        <v/>
      </c>
      <c r="B579" s="9" t="s">
        <v>494</v>
      </c>
      <c r="C579" s="7"/>
      <c r="D579" s="8"/>
      <c r="E579" s="9"/>
      <c r="F579" s="9" t="s">
        <v>445</v>
      </c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12.5" customHeight="1">
      <c r="A580" s="8" t="str">
        <f>IMAGE("https://lh3.googleusercontent.com/u/0/d/1ls8Y3F20l0h1h9h1PpjtAPzVC5tB0QJH")</f>
        <v/>
      </c>
      <c r="B580" s="9" t="s">
        <v>495</v>
      </c>
      <c r="C580" s="7"/>
      <c r="D580" s="7"/>
      <c r="E580" s="9"/>
      <c r="F580" s="9" t="s">
        <v>445</v>
      </c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12.5" customHeight="1">
      <c r="A581" s="8" t="str">
        <f>IMAGE("https://lh3.googleusercontent.com/u/0/d/1hQCicfTP7hCYQnx7Ji4n5CutANBFD3vd")</f>
        <v/>
      </c>
      <c r="B581" s="9" t="s">
        <v>496</v>
      </c>
      <c r="C581" s="7"/>
      <c r="D581" s="7"/>
      <c r="E581" s="9"/>
      <c r="F581" s="9" t="s">
        <v>445</v>
      </c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12.5" customHeight="1">
      <c r="A582" s="8" t="str">
        <f>IMAGE("https://lh3.googleusercontent.com/u/0/d/1ICqNOeX31KhTz_1NWaMIXvte0QxCicxi")</f>
        <v/>
      </c>
      <c r="B582" s="9" t="s">
        <v>497</v>
      </c>
      <c r="C582" s="7"/>
      <c r="D582" s="7"/>
      <c r="E582" s="9"/>
      <c r="F582" s="9" t="s">
        <v>445</v>
      </c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12.5" customHeight="1">
      <c r="A583" s="8" t="str">
        <f>IMAGE("https://lh3.googleusercontent.com/u/0/d/1ERynqVAfRhgyeYIfv9TW2-9E-p09KiuI")</f>
        <v/>
      </c>
      <c r="B583" s="9" t="s">
        <v>498</v>
      </c>
      <c r="C583" s="7"/>
      <c r="D583" s="8"/>
      <c r="E583" s="9"/>
      <c r="F583" s="9" t="s">
        <v>445</v>
      </c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12.5" customHeight="1">
      <c r="A584" s="8" t="str">
        <f>IMAGE("https://lh3.googleusercontent.com/u/0/d/1_BA6l-2GBhV_3GK1qvpoe7U_Q0jzYDR2")</f>
        <v/>
      </c>
      <c r="B584" s="9" t="s">
        <v>499</v>
      </c>
      <c r="C584" s="7"/>
      <c r="D584" s="8"/>
      <c r="E584" s="9"/>
      <c r="F584" s="9" t="s">
        <v>445</v>
      </c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12.5" customHeight="1">
      <c r="A585" s="8" t="str">
        <f>IMAGE("https://lh3.googleusercontent.com/u/0/d/1Tn2Dm5vCEQZSyEh-OLUUv1tXZcv3LWea")</f>
        <v/>
      </c>
      <c r="B585" s="9" t="s">
        <v>500</v>
      </c>
      <c r="C585" s="7"/>
      <c r="D585" s="7"/>
      <c r="E585" s="9"/>
      <c r="F585" s="9" t="s">
        <v>445</v>
      </c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12.5" customHeight="1">
      <c r="A586" s="8" t="str">
        <f>IMAGE("https://lh3.googleusercontent.com/u/0/d/11ZwMzTXRS-3WvAcY3WFK505oW0-IwHg-")</f>
        <v/>
      </c>
      <c r="B586" s="9" t="s">
        <v>501</v>
      </c>
      <c r="C586" s="7"/>
      <c r="D586" s="8"/>
      <c r="E586" s="9"/>
      <c r="F586" s="9" t="s">
        <v>445</v>
      </c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12.5" customHeight="1">
      <c r="A587" s="8" t="str">
        <f>IMAGE("https://lh3.googleusercontent.com/u/0/d/1-3ifQejLKG79TLBFSS6N-uLlzW1Fnxqq")</f>
        <v/>
      </c>
      <c r="B587" s="9" t="s">
        <v>502</v>
      </c>
      <c r="C587" s="7"/>
      <c r="D587" s="8"/>
      <c r="E587" s="9"/>
      <c r="F587" s="9" t="s">
        <v>445</v>
      </c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12.5" customHeight="1">
      <c r="A588" s="8" t="str">
        <f>IMAGE("https://lh3.googleusercontent.com/u/0/d/1GobHZKDtbrD-bF2rFpseLL5lUYG8Daqn")</f>
        <v/>
      </c>
      <c r="B588" s="9" t="s">
        <v>503</v>
      </c>
      <c r="C588" s="7"/>
      <c r="D588" s="8"/>
      <c r="E588" s="9"/>
      <c r="F588" s="9" t="s">
        <v>445</v>
      </c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12.5" customHeight="1">
      <c r="A589" s="8" t="str">
        <f>IMAGE("https://lh3.googleusercontent.com/u/0/d/1-fTJorbur71XxLr_iYEdD-T8yr5aLobF")</f>
        <v/>
      </c>
      <c r="B589" s="9" t="s">
        <v>504</v>
      </c>
      <c r="C589" s="7"/>
      <c r="D589" s="8"/>
      <c r="E589" s="9"/>
      <c r="F589" s="9" t="s">
        <v>445</v>
      </c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12.5" customHeight="1">
      <c r="A590" s="8" t="str">
        <f>IMAGE("https://lh3.googleusercontent.com/u/0/d/1i6iHD3otAjbvKkWrg8EWf_g8X_6DXiJD")</f>
        <v/>
      </c>
      <c r="B590" s="9" t="s">
        <v>505</v>
      </c>
      <c r="C590" s="7"/>
      <c r="D590" s="7"/>
      <c r="E590" s="9"/>
      <c r="F590" s="9" t="s">
        <v>445</v>
      </c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12.5" customHeight="1">
      <c r="A591" s="8" t="str">
        <f>IMAGE("https://lh3.googleusercontent.com/u/0/d/1YFVk-w09mNc_JlSuryPT5SSHxz1ycktJ")</f>
        <v/>
      </c>
      <c r="B591" s="9" t="s">
        <v>506</v>
      </c>
      <c r="C591" s="7"/>
      <c r="D591" s="7"/>
      <c r="E591" s="9"/>
      <c r="F591" s="9" t="s">
        <v>445</v>
      </c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12.5" customHeight="1">
      <c r="A592" s="8" t="str">
        <f>IMAGE("https://lh3.googleusercontent.com/u/0/d/11y4dyFBsLRMkRbehnx5FA4aDXpxZp5hn")</f>
        <v/>
      </c>
      <c r="B592" s="9" t="s">
        <v>507</v>
      </c>
      <c r="C592" s="7"/>
      <c r="D592" s="8"/>
      <c r="E592" s="9"/>
      <c r="F592" s="9" t="s">
        <v>445</v>
      </c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12.5" customHeight="1">
      <c r="A593" s="8" t="str">
        <f>IMAGE("https://lh3.googleusercontent.com/u/0/d/1976sWN84FNsohHbKYecUt1zWfT4_a1c4")</f>
        <v/>
      </c>
      <c r="B593" s="9" t="s">
        <v>508</v>
      </c>
      <c r="C593" s="7"/>
      <c r="D593" s="7"/>
      <c r="E593" s="9"/>
      <c r="F593" s="9" t="s">
        <v>445</v>
      </c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12.5" customHeight="1">
      <c r="A594" s="8" t="str">
        <f>IMAGE("https://lh3.googleusercontent.com/u/0/d/1lg2-11IZR-_xkqrBx4DGmeU_ruXJJiYA")</f>
        <v/>
      </c>
      <c r="B594" s="9" t="s">
        <v>509</v>
      </c>
      <c r="C594" s="7"/>
      <c r="D594" s="8"/>
      <c r="E594" s="9"/>
      <c r="F594" s="9" t="s">
        <v>445</v>
      </c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12.5" customHeight="1">
      <c r="A595" s="8" t="str">
        <f>IMAGE("https://lh3.googleusercontent.com/u/0/d/1Zo78Phq9WEYraoOJirW_kVmCVMDOlfPP")</f>
        <v/>
      </c>
      <c r="B595" s="9" t="s">
        <v>510</v>
      </c>
      <c r="C595" s="7"/>
      <c r="D595" s="7"/>
      <c r="E595" s="9"/>
      <c r="F595" s="9" t="s">
        <v>445</v>
      </c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12.5" customHeight="1">
      <c r="A596" s="8" t="str">
        <f>IMAGE("https://lh3.googleusercontent.com/u/0/d/10HmNv3RpCvmmOyGyZnW7q9CToHYJWTKW")</f>
        <v/>
      </c>
      <c r="B596" s="9" t="s">
        <v>511</v>
      </c>
      <c r="C596" s="7"/>
      <c r="D596" s="7"/>
      <c r="E596" s="9"/>
      <c r="F596" s="9" t="s">
        <v>445</v>
      </c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12.5" customHeight="1">
      <c r="A597" s="8" t="str">
        <f>IMAGE("https://lh3.googleusercontent.com/u/0/d/1ij0kLoenSxy2LiVzptkjirJmffNrtxKE")</f>
        <v/>
      </c>
      <c r="B597" s="9" t="s">
        <v>512</v>
      </c>
      <c r="C597" s="7"/>
      <c r="D597" s="8"/>
      <c r="E597" s="9"/>
      <c r="F597" s="9" t="s">
        <v>445</v>
      </c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12.5" customHeight="1">
      <c r="A598" s="8" t="str">
        <f>IMAGE("https://lh3.googleusercontent.com/u/0/d/16l_qAKi09vvw9-zhGZaLYsVDppwwhf_u")</f>
        <v/>
      </c>
      <c r="B598" s="9" t="s">
        <v>513</v>
      </c>
      <c r="C598" s="7"/>
      <c r="D598" s="8"/>
      <c r="E598" s="9"/>
      <c r="F598" s="9" t="s">
        <v>445</v>
      </c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12.5" customHeight="1">
      <c r="A599" s="8" t="str">
        <f>IMAGE("https://lh3.googleusercontent.com/u/0/d/1vqYuZpGtgipA2ZgluabRT7L667qkrutA")</f>
        <v/>
      </c>
      <c r="B599" s="9" t="s">
        <v>514</v>
      </c>
      <c r="C599" s="7"/>
      <c r="D599" s="8"/>
      <c r="E599" s="9"/>
      <c r="F599" s="9" t="s">
        <v>445</v>
      </c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12.5" customHeight="1">
      <c r="A600" s="8" t="str">
        <f>IMAGE("https://lh3.googleusercontent.com/u/0/d/1Fkps07ZLfTXZ171xQQNt-m7K693KG4ju")</f>
        <v/>
      </c>
      <c r="B600" s="9" t="s">
        <v>515</v>
      </c>
      <c r="C600" s="8"/>
      <c r="D600" s="7"/>
      <c r="E600" s="9"/>
      <c r="F600" s="9" t="s">
        <v>445</v>
      </c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12.5" customHeight="1">
      <c r="A601" s="8" t="str">
        <f>IMAGE("https://lh3.googleusercontent.com/u/0/d/116KTNhJ1726L6gELXsjLAS12Ffq6nLPo")</f>
        <v/>
      </c>
      <c r="B601" s="9" t="s">
        <v>516</v>
      </c>
      <c r="C601" s="8"/>
      <c r="D601" s="8"/>
      <c r="E601" s="9"/>
      <c r="F601" s="9" t="s">
        <v>445</v>
      </c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12.5" customHeight="1">
      <c r="A602" s="8" t="str">
        <f>IMAGE("https://lh3.googleusercontent.com/u/0/d/1BgDkTEuKcuIxwOV7MXHWLJptYqEYd0bj")</f>
        <v/>
      </c>
      <c r="B602" s="9" t="s">
        <v>517</v>
      </c>
      <c r="C602" s="8"/>
      <c r="D602" s="8"/>
      <c r="E602" s="9"/>
      <c r="F602" s="9" t="s">
        <v>445</v>
      </c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12.5" customHeight="1">
      <c r="A603" s="8" t="str">
        <f>IMAGE("https://lh3.googleusercontent.com/u/0/d/1IPEtzQQHZ47fVBKZzEo1-KHsLNFlyJIF")</f>
        <v/>
      </c>
      <c r="B603" s="9" t="s">
        <v>518</v>
      </c>
      <c r="C603" s="8"/>
      <c r="D603" s="7"/>
      <c r="E603" s="9"/>
      <c r="F603" s="9" t="s">
        <v>445</v>
      </c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12.5" customHeight="1">
      <c r="A604" s="8" t="str">
        <f>IMAGE("https://lh3.googleusercontent.com/u/0/d/15SOSh2u4iHLlY39q50xQWbpaq8NBhTDA")</f>
        <v/>
      </c>
      <c r="B604" s="9" t="s">
        <v>519</v>
      </c>
      <c r="C604" s="8"/>
      <c r="D604" s="8"/>
      <c r="E604" s="9"/>
      <c r="F604" s="9" t="s">
        <v>445</v>
      </c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12.5" customHeight="1">
      <c r="A605" s="8" t="str">
        <f>IMAGE("https://lh3.googleusercontent.com/u/0/d/1NdRQ7O8BPqgX_BiYENgAaczeM2NdOm8N")</f>
        <v/>
      </c>
      <c r="B605" s="9" t="s">
        <v>520</v>
      </c>
      <c r="C605" s="8"/>
      <c r="D605" s="8"/>
      <c r="E605" s="9"/>
      <c r="F605" s="9" t="s">
        <v>445</v>
      </c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12.5" customHeight="1">
      <c r="A606" s="8" t="str">
        <f>IMAGE("https://lh3.googleusercontent.com/u/0/d/1uVdGPFn5oDwNoEC7e5R6Ez4Mx8MxY78O")</f>
        <v/>
      </c>
      <c r="B606" s="9" t="s">
        <v>521</v>
      </c>
      <c r="C606" s="8"/>
      <c r="D606" s="8"/>
      <c r="E606" s="9"/>
      <c r="F606" s="9" t="s">
        <v>445</v>
      </c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12.5" customHeight="1">
      <c r="A607" s="8" t="str">
        <f>IMAGE("https://lh3.googleusercontent.com/u/0/d/1QsNewukwpwcmGbTXrolXqQmKOLYityb_")</f>
        <v/>
      </c>
      <c r="B607" s="9" t="s">
        <v>522</v>
      </c>
      <c r="C607" s="8"/>
      <c r="D607" s="8"/>
      <c r="E607" s="9"/>
      <c r="F607" s="9" t="s">
        <v>445</v>
      </c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12.5" customHeight="1">
      <c r="A608" s="8" t="str">
        <f>IMAGE("https://lh3.googleusercontent.com/u/0/d/1zh1ciHVaVo4AtqhnyiGLymzqBOka3-wa")</f>
        <v/>
      </c>
      <c r="B608" s="9" t="s">
        <v>523</v>
      </c>
      <c r="C608" s="8"/>
      <c r="D608" s="7"/>
      <c r="E608" s="9"/>
      <c r="F608" s="9" t="s">
        <v>445</v>
      </c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12.5" customHeight="1">
      <c r="A609" s="8" t="str">
        <f>IMAGE("https://lh3.googleusercontent.com/u/0/d/19uXxe-qGJk1XCGDx11BIcycq6PnT2PH0")</f>
        <v/>
      </c>
      <c r="B609" s="9" t="s">
        <v>524</v>
      </c>
      <c r="C609" s="8"/>
      <c r="D609" s="8"/>
      <c r="E609" s="9"/>
      <c r="F609" s="9" t="s">
        <v>445</v>
      </c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12.5" customHeight="1">
      <c r="A610" s="8" t="str">
        <f>IMAGE("https://lh3.googleusercontent.com/u/0/d/1iqpRO4NlwGcHUufazEVE5mCQ0lnEVwMM")</f>
        <v/>
      </c>
      <c r="B610" s="9" t="s">
        <v>525</v>
      </c>
      <c r="C610" s="8"/>
      <c r="D610" s="8"/>
      <c r="E610" s="9"/>
      <c r="F610" s="9" t="s">
        <v>445</v>
      </c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12.5" customHeight="1">
      <c r="A611" s="8" t="str">
        <f>IMAGE("https://lh3.googleusercontent.com/u/0/d/1P3gRj-ME9U_qN6TpWKaRiS_CrS-1PlmK")</f>
        <v/>
      </c>
      <c r="B611" s="9" t="s">
        <v>526</v>
      </c>
      <c r="C611" s="8"/>
      <c r="D611" s="8"/>
      <c r="E611" s="9"/>
      <c r="F611" s="9" t="s">
        <v>445</v>
      </c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12.5" customHeight="1">
      <c r="A612" s="8" t="str">
        <f>IMAGE("https://lh3.googleusercontent.com/u/0/d/1RxqkPsKHPjV1yoiRNXj2kJXy9suB7Kn9")</f>
        <v/>
      </c>
      <c r="B612" s="9" t="s">
        <v>527</v>
      </c>
      <c r="C612" s="8"/>
      <c r="D612" s="8"/>
      <c r="E612" s="9"/>
      <c r="F612" s="9" t="s">
        <v>445</v>
      </c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12.5" customHeight="1">
      <c r="A613" s="8" t="str">
        <f>IMAGE("https://lh3.googleusercontent.com/u/0/d/13lGtvLFlZjLHo5JRp7BqNBPKbedF5Bgv")</f>
        <v/>
      </c>
      <c r="B613" s="9" t="s">
        <v>528</v>
      </c>
      <c r="C613" s="8"/>
      <c r="D613" s="8"/>
      <c r="E613" s="9"/>
      <c r="F613" s="9" t="s">
        <v>445</v>
      </c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12.5" customHeight="1">
      <c r="A614" s="8" t="str">
        <f>IMAGE("https://lh3.googleusercontent.com/u/0/d/1UhperNv9zg_N58trYPC9jSJjfr5dDevp")</f>
        <v/>
      </c>
      <c r="B614" s="9" t="s">
        <v>529</v>
      </c>
      <c r="C614" s="8"/>
      <c r="D614" s="8"/>
      <c r="E614" s="9"/>
      <c r="F614" s="9" t="s">
        <v>445</v>
      </c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12.5" customHeight="1">
      <c r="A615" s="8" t="str">
        <f>IMAGE("https://lh3.googleusercontent.com/u/0/d/1Wh3S9qVJsSS7M9Q98WbFQvKEN0zrVmop")</f>
        <v/>
      </c>
      <c r="B615" s="9" t="s">
        <v>530</v>
      </c>
      <c r="C615" s="8"/>
      <c r="D615" s="7"/>
      <c r="E615" s="9"/>
      <c r="F615" s="9" t="s">
        <v>445</v>
      </c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12.5" customHeight="1">
      <c r="A616" s="8" t="str">
        <f>IMAGE("https://lh3.googleusercontent.com/u/0/d/1WAh-Tkb83NQwi3gSCU42iaNLZxKEso90")</f>
        <v/>
      </c>
      <c r="B616" s="9" t="s">
        <v>531</v>
      </c>
      <c r="C616" s="8"/>
      <c r="D616" s="8"/>
      <c r="E616" s="9"/>
      <c r="F616" s="9" t="s">
        <v>445</v>
      </c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12.5" customHeight="1">
      <c r="A617" s="8" t="str">
        <f>IMAGE("https://lh3.googleusercontent.com/u/0/d/192IUCiOcM8obHbw9N5Sh4SMPKeSv9wdu")</f>
        <v/>
      </c>
      <c r="B617" s="9" t="s">
        <v>532</v>
      </c>
      <c r="C617" s="8"/>
      <c r="D617" s="7"/>
      <c r="E617" s="9"/>
      <c r="F617" s="9" t="s">
        <v>445</v>
      </c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12.5" customHeight="1">
      <c r="A618" s="8" t="str">
        <f>IMAGE("https://lh3.googleusercontent.com/u/0/d/1rgFcgLq2uDF4X4BZr5Y0380DgK2jOsan")</f>
        <v/>
      </c>
      <c r="B618" s="9" t="s">
        <v>533</v>
      </c>
      <c r="C618" s="8"/>
      <c r="D618" s="7"/>
      <c r="E618" s="9"/>
      <c r="F618" s="9" t="s">
        <v>445</v>
      </c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12.5" customHeight="1">
      <c r="A619" s="8" t="str">
        <f>IMAGE("https://lh3.googleusercontent.com/u/0/d/11iZoBvuN2W1Wmx6COyy0_HUmZVKWq4EN")</f>
        <v/>
      </c>
      <c r="B619" s="9" t="s">
        <v>534</v>
      </c>
      <c r="C619" s="8"/>
      <c r="D619" s="7"/>
      <c r="E619" s="9"/>
      <c r="F619" s="9" t="s">
        <v>445</v>
      </c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12.5" customHeight="1">
      <c r="A620" s="8" t="str">
        <f>IMAGE("https://lh3.googleusercontent.com/u/0/d/1yLaldBgfR2NvlkvHuUtfgZUI2cgtoFZ7")</f>
        <v/>
      </c>
      <c r="B620" s="9" t="s">
        <v>535</v>
      </c>
      <c r="C620" s="8"/>
      <c r="D620" s="7"/>
      <c r="E620" s="9"/>
      <c r="F620" s="9" t="s">
        <v>445</v>
      </c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12.5" customHeight="1">
      <c r="A621" s="8" t="str">
        <f>IMAGE("https://lh3.googleusercontent.com/u/0/d/10PWS7KSdpB9duGQGPh96fBY5U2cn8kxp")</f>
        <v/>
      </c>
      <c r="B621" s="9" t="s">
        <v>536</v>
      </c>
      <c r="C621" s="8"/>
      <c r="D621" s="8"/>
      <c r="E621" s="9"/>
      <c r="F621" s="9" t="s">
        <v>445</v>
      </c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12.5" customHeight="1">
      <c r="A622" s="8" t="str">
        <f>IMAGE("https://lh3.googleusercontent.com/u/0/d/1OxseJWzd5iXdbfhZexFyLwkCTvNPoeBO")</f>
        <v/>
      </c>
      <c r="B622" s="9" t="s">
        <v>537</v>
      </c>
      <c r="C622" s="8"/>
      <c r="D622" s="7"/>
      <c r="E622" s="9"/>
      <c r="F622" s="9" t="s">
        <v>445</v>
      </c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12.5" customHeight="1">
      <c r="A623" s="8" t="str">
        <f>IMAGE("https://lh3.googleusercontent.com/u/0/d/1G6bdbhYIzhVJpHJe-wvcBApC27GnCjLK")</f>
        <v/>
      </c>
      <c r="B623" s="9" t="s">
        <v>538</v>
      </c>
      <c r="C623" s="8"/>
      <c r="D623" s="8"/>
      <c r="E623" s="9"/>
      <c r="F623" s="9" t="s">
        <v>445</v>
      </c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12.5" customHeight="1">
      <c r="A624" s="8" t="str">
        <f>IMAGE("https://lh3.googleusercontent.com/u/0/d/1ptJhM931pM8LST2lJDtwuG0mjXdH4ud1")</f>
        <v/>
      </c>
      <c r="B624" s="9" t="s">
        <v>539</v>
      </c>
      <c r="C624" s="8"/>
      <c r="D624" s="7"/>
      <c r="E624" s="9"/>
      <c r="F624" s="9" t="s">
        <v>445</v>
      </c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12.5" customHeight="1">
      <c r="A625" s="8" t="str">
        <f>IMAGE("https://lh3.googleusercontent.com/u/0/d/12Xt7VQmCbZc3CU2Z-QcC4BHO8PB-Mrd9")</f>
        <v/>
      </c>
      <c r="B625" s="9" t="s">
        <v>540</v>
      </c>
      <c r="C625" s="8"/>
      <c r="D625" s="7"/>
      <c r="E625" s="9"/>
      <c r="F625" s="9" t="s">
        <v>445</v>
      </c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12.5" customHeight="1">
      <c r="A626" s="8" t="str">
        <f>IMAGE("https://lh3.googleusercontent.com/u/0/d/1jn4YINhn4fiG0YdjOn4Em-Z6r11qOYIX")</f>
        <v/>
      </c>
      <c r="B626" s="9" t="s">
        <v>541</v>
      </c>
      <c r="C626" s="8"/>
      <c r="D626" s="7"/>
      <c r="E626" s="9"/>
      <c r="F626" s="9" t="s">
        <v>445</v>
      </c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12.5" customHeight="1">
      <c r="A627" s="8" t="str">
        <f>IMAGE("https://lh3.googleusercontent.com/u/0/d/19QVtg4ykRn00J8ios9SEqZb7AaII1Sz6")</f>
        <v/>
      </c>
      <c r="B627" s="9" t="s">
        <v>542</v>
      </c>
      <c r="C627" s="8"/>
      <c r="D627" s="8"/>
      <c r="E627" s="9"/>
      <c r="F627" s="9" t="s">
        <v>445</v>
      </c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12.5" customHeight="1">
      <c r="A628" s="8" t="str">
        <f>IMAGE("https://lh3.googleusercontent.com/u/0/d/1TS-vV0T4fw9UGF4PLSUX1jT3ASXtT0bN")</f>
        <v/>
      </c>
      <c r="B628" s="9" t="s">
        <v>543</v>
      </c>
      <c r="C628" s="8"/>
      <c r="D628" s="8"/>
      <c r="E628" s="9"/>
      <c r="F628" s="9" t="s">
        <v>445</v>
      </c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12.5" customHeight="1">
      <c r="A629" s="8" t="str">
        <f>IMAGE("https://lh3.googleusercontent.com/u/0/d/1uT4kd3YmWqVJOjoEUvwshtxqGPVsSc6C")</f>
        <v/>
      </c>
      <c r="B629" s="9" t="s">
        <v>544</v>
      </c>
      <c r="C629" s="8"/>
      <c r="D629" s="8"/>
      <c r="E629" s="9"/>
      <c r="F629" s="9" t="s">
        <v>445</v>
      </c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12.5" customHeight="1">
      <c r="A630" s="8" t="str">
        <f>IMAGE("https://lh3.googleusercontent.com/u/0/d/1rYI2d27xIv6n8DCvHlhSBJVwP66hnj02")</f>
        <v/>
      </c>
      <c r="B630" s="9" t="s">
        <v>545</v>
      </c>
      <c r="C630" s="8"/>
      <c r="D630" s="8"/>
      <c r="E630" s="9"/>
      <c r="F630" s="9" t="s">
        <v>445</v>
      </c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12.5" customHeight="1">
      <c r="A631" s="8" t="str">
        <f>IMAGE("https://lh3.googleusercontent.com/u/0/d/1g4ejo6dJz8pYj4SlTd5SImALIr161L4b")</f>
        <v/>
      </c>
      <c r="B631" s="9" t="s">
        <v>546</v>
      </c>
      <c r="C631" s="8"/>
      <c r="D631" s="8"/>
      <c r="E631" s="9"/>
      <c r="F631" s="9" t="s">
        <v>445</v>
      </c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12.5" customHeight="1">
      <c r="A632" s="8" t="str">
        <f>IMAGE("https://lh3.googleusercontent.com/u/0/d/140nSNxMsaBCSXRVw7KHLpT4hOcvyScZB")</f>
        <v/>
      </c>
      <c r="B632" s="9" t="s">
        <v>547</v>
      </c>
      <c r="C632" s="8"/>
      <c r="D632" s="7"/>
      <c r="E632" s="9"/>
      <c r="F632" s="9" t="s">
        <v>445</v>
      </c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12.5" customHeight="1">
      <c r="A633" s="8" t="str">
        <f>IMAGE("https://lh3.googleusercontent.com/u/0/d/1-LlQqWQpCow3hS6AwRV3OwN85WXUq22J")</f>
        <v/>
      </c>
      <c r="B633" s="9" t="s">
        <v>548</v>
      </c>
      <c r="C633" s="8"/>
      <c r="D633" s="8"/>
      <c r="E633" s="9"/>
      <c r="F633" s="9" t="s">
        <v>445</v>
      </c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12.5" customHeight="1">
      <c r="A634" s="8" t="str">
        <f>IMAGE("https://lh3.googleusercontent.com/u/0/d/1GWZEZLhsswe9CYMvf85Gq4ch3S_FavJZ")</f>
        <v/>
      </c>
      <c r="B634" s="9" t="s">
        <v>549</v>
      </c>
      <c r="C634" s="8"/>
      <c r="D634" s="8"/>
      <c r="E634" s="9"/>
      <c r="F634" s="9" t="s">
        <v>445</v>
      </c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12.5" customHeight="1">
      <c r="A635" s="8" t="str">
        <f>IMAGE("https://lh3.googleusercontent.com/u/0/d/1jQ35T6YyqyfGwcWSCBEC066G8CXL3XCJ")</f>
        <v/>
      </c>
      <c r="B635" s="9" t="s">
        <v>550</v>
      </c>
      <c r="C635" s="8"/>
      <c r="D635" s="8"/>
      <c r="E635" s="9"/>
      <c r="F635" s="9" t="s">
        <v>445</v>
      </c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12.5" customHeight="1">
      <c r="A636" s="8" t="str">
        <f>IMAGE("https://lh3.googleusercontent.com/u/0/d/1qSBj-btrIDs7CTdNmaWVyDprUW6g8hCW")</f>
        <v/>
      </c>
      <c r="B636" s="9" t="s">
        <v>551</v>
      </c>
      <c r="C636" s="8"/>
      <c r="D636" s="8"/>
      <c r="E636" s="9"/>
      <c r="F636" s="9" t="s">
        <v>445</v>
      </c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12.5" customHeight="1">
      <c r="A637" s="8" t="str">
        <f>IMAGE("https://lh3.googleusercontent.com/u/0/d/1BnS7LSQsGkqR3ZNWmmLMWtPd8Rkhj9A7")</f>
        <v/>
      </c>
      <c r="B637" s="9" t="s">
        <v>552</v>
      </c>
      <c r="C637" s="8"/>
      <c r="D637" s="8"/>
      <c r="E637" s="9"/>
      <c r="F637" s="9" t="s">
        <v>445</v>
      </c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12.5" customHeight="1">
      <c r="A638" s="8" t="str">
        <f>IMAGE("https://lh3.googleusercontent.com/u/0/d/1YzDLnnJNtwPY6oqz7lOFs1Fnmg0ZV034")</f>
        <v/>
      </c>
      <c r="B638" s="9" t="s">
        <v>553</v>
      </c>
      <c r="C638" s="8"/>
      <c r="D638" s="7"/>
      <c r="E638" s="9"/>
      <c r="F638" s="9" t="s">
        <v>445</v>
      </c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12.5" customHeight="1">
      <c r="A639" s="8" t="str">
        <f>IMAGE("https://lh3.googleusercontent.com/u/0/d/1q7iXe4Z1XMIPoLARjkEeZWtfqjkMaAuZ")</f>
        <v/>
      </c>
      <c r="B639" s="9" t="s">
        <v>554</v>
      </c>
      <c r="C639" s="8"/>
      <c r="D639" s="8"/>
      <c r="E639" s="8"/>
      <c r="F639" s="9" t="s">
        <v>445</v>
      </c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12.5" customHeight="1">
      <c r="A640" s="8" t="str">
        <f>IMAGE("https://lh3.googleusercontent.com/u/0/d/1760lTafKidf6YrSf3iNiDgRNiKDgir2J")</f>
        <v/>
      </c>
      <c r="B640" s="9" t="s">
        <v>555</v>
      </c>
      <c r="C640" s="8"/>
      <c r="D640" s="8"/>
      <c r="E640" s="8"/>
      <c r="F640" s="9" t="s">
        <v>445</v>
      </c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12.5" customHeight="1">
      <c r="A641" s="8" t="str">
        <f>IMAGE("https://lh3.googleusercontent.com/u/0/d/1NIjdWe2Y6viCZpfHW3h1kU5mJCzrlfUY")</f>
        <v/>
      </c>
      <c r="B641" s="9" t="s">
        <v>556</v>
      </c>
      <c r="C641" s="8"/>
      <c r="D641" s="8"/>
      <c r="E641" s="8"/>
      <c r="F641" s="9" t="s">
        <v>445</v>
      </c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12.5" customHeight="1">
      <c r="A642" s="8" t="str">
        <f>IMAGE("https://lh3.googleusercontent.com/u/0/d/1O5zCOFCkSM2wPSFhW0HEQDU6WVL0eql9")</f>
        <v/>
      </c>
      <c r="B642" s="9" t="s">
        <v>557</v>
      </c>
      <c r="C642" s="8"/>
      <c r="D642" s="8"/>
      <c r="E642" s="8"/>
      <c r="F642" s="9" t="s">
        <v>445</v>
      </c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12.5" customHeight="1">
      <c r="A643" s="8" t="str">
        <f>IMAGE("https://lh3.googleusercontent.com/u/0/d/15Bv6YZlGCaDhBZ8vrw-CeFGgbtArK0Gk")</f>
        <v/>
      </c>
      <c r="B643" s="9" t="s">
        <v>558</v>
      </c>
      <c r="C643" s="8"/>
      <c r="D643" s="8"/>
      <c r="E643" s="8"/>
      <c r="F643" s="9" t="s">
        <v>445</v>
      </c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12.5" customHeight="1">
      <c r="A644" s="8" t="str">
        <f>IMAGE("https://lh3.googleusercontent.com/u/0/d/1H03e9LjL5t09oL62xlblj7aJ4LHHplJ-")</f>
        <v/>
      </c>
      <c r="B644" s="9" t="s">
        <v>559</v>
      </c>
      <c r="C644" s="8"/>
      <c r="D644" s="8"/>
      <c r="E644" s="8"/>
      <c r="F644" s="9" t="s">
        <v>445</v>
      </c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12.5" customHeight="1">
      <c r="A645" s="8" t="str">
        <f>IMAGE("https://lh3.googleusercontent.com/u/0/d/1FSSGnWKtDwlUbHqPhQXHVP_moEyt4MbF")</f>
        <v/>
      </c>
      <c r="B645" s="9" t="s">
        <v>560</v>
      </c>
      <c r="C645" s="8"/>
      <c r="D645" s="8"/>
      <c r="E645" s="8"/>
      <c r="F645" s="9" t="s">
        <v>445</v>
      </c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12.5" customHeight="1">
      <c r="A646" s="8" t="str">
        <f>IMAGE("https://lh3.googleusercontent.com/u/0/d/1XlUXEyblEQjq-4c-MtRGpAfEgrvKWOCs")</f>
        <v/>
      </c>
      <c r="B646" s="9" t="s">
        <v>561</v>
      </c>
      <c r="C646" s="8"/>
      <c r="D646" s="8"/>
      <c r="E646" s="8"/>
      <c r="F646" s="9" t="s">
        <v>445</v>
      </c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12.5" customHeight="1">
      <c r="A647" s="8" t="str">
        <f>IMAGE("https://lh3.googleusercontent.com/u/0/d/1KmFLWnG2y7z5wyUJdmh9fJSiam9XgsrB")</f>
        <v/>
      </c>
      <c r="B647" s="9" t="s">
        <v>562</v>
      </c>
      <c r="C647" s="8"/>
      <c r="D647" s="8"/>
      <c r="E647" s="8"/>
      <c r="F647" s="9" t="s">
        <v>445</v>
      </c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12.5" customHeight="1">
      <c r="A648" s="8" t="str">
        <f>IMAGE("https://lh3.googleusercontent.com/u/0/d/1_cG456wX8hYr6OEPGaGxBn73t3jDN5zH")</f>
        <v/>
      </c>
      <c r="B648" s="9" t="s">
        <v>563</v>
      </c>
      <c r="C648" s="8"/>
      <c r="D648" s="8"/>
      <c r="E648" s="8"/>
      <c r="F648" s="9" t="s">
        <v>445</v>
      </c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12.5" customHeight="1">
      <c r="A649" s="8" t="str">
        <f>IMAGE("https://lh3.googleusercontent.com/u/0/d/1WyOZpeeTM--TI8v3RKj5ylmV3SzE3Hs4")</f>
        <v/>
      </c>
      <c r="B649" s="9" t="s">
        <v>564</v>
      </c>
      <c r="C649" s="8"/>
      <c r="D649" s="8"/>
      <c r="E649" s="8"/>
      <c r="F649" s="9" t="s">
        <v>445</v>
      </c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12.5" customHeight="1">
      <c r="A650" s="8" t="str">
        <f>IMAGE("https://lh3.googleusercontent.com/u/0/d/1sraGmcWOJztmK-ETzOoXkEHOj0naCL_f")</f>
        <v/>
      </c>
      <c r="B650" s="9" t="s">
        <v>565</v>
      </c>
      <c r="C650" s="8"/>
      <c r="D650" s="8"/>
      <c r="E650" s="8"/>
      <c r="F650" s="9" t="s">
        <v>445</v>
      </c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12.5" customHeight="1">
      <c r="A651" s="8" t="str">
        <f>IMAGE("https://lh3.googleusercontent.com/u/0/d/12QHNl6a7zeKMn5XuNgdTwYQvgqmb2OUU")</f>
        <v/>
      </c>
      <c r="B651" s="9" t="s">
        <v>566</v>
      </c>
      <c r="C651" s="8"/>
      <c r="D651" s="8"/>
      <c r="E651" s="8"/>
      <c r="F651" s="9" t="s">
        <v>445</v>
      </c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12.5" customHeight="1">
      <c r="A652" s="8" t="str">
        <f>IMAGE("https://lh3.googleusercontent.com/u/0/d/1fALYdD1fi2x_rDhRPmJsRuVmKN1VzhCn")</f>
        <v/>
      </c>
      <c r="B652" s="9" t="s">
        <v>567</v>
      </c>
      <c r="C652" s="8"/>
      <c r="D652" s="8"/>
      <c r="E652" s="8"/>
      <c r="F652" s="9" t="s">
        <v>445</v>
      </c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12.5" customHeight="1">
      <c r="A653" s="8" t="str">
        <f>IMAGE("https://lh3.googleusercontent.com/u/0/d/1f5ugWlaBM3gPKS3Ftw_HloljPeI9HK4r")</f>
        <v/>
      </c>
      <c r="B653" s="9" t="s">
        <v>568</v>
      </c>
      <c r="C653" s="8"/>
      <c r="D653" s="8"/>
      <c r="E653" s="8"/>
      <c r="F653" s="9" t="s">
        <v>445</v>
      </c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12.5" customHeight="1">
      <c r="A654" s="8" t="str">
        <f>IMAGE("https://lh3.googleusercontent.com/u/0/d/12pY1RBc2PUk3EWY7U1w9v6Dc7R2a24q2")</f>
        <v/>
      </c>
      <c r="B654" s="9" t="s">
        <v>569</v>
      </c>
      <c r="C654" s="8"/>
      <c r="D654" s="8"/>
      <c r="E654" s="8"/>
      <c r="F654" s="9" t="s">
        <v>445</v>
      </c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12.5" customHeight="1">
      <c r="A655" s="8" t="str">
        <f>IMAGE("https://lh3.googleusercontent.com/u/0/d/1HOnxjtKJ5YX1--vxcnwMVfWLol7sO6zQ")</f>
        <v/>
      </c>
      <c r="B655" s="9" t="s">
        <v>570</v>
      </c>
      <c r="C655" s="8"/>
      <c r="D655" s="8"/>
      <c r="E655" s="8"/>
      <c r="F655" s="9" t="s">
        <v>445</v>
      </c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12.5" customHeight="1">
      <c r="A656" s="8" t="str">
        <f>IMAGE("https://lh3.googleusercontent.com/u/0/d/1SxXpUV_9cOeP-1dqrhOs65VryM3LMGNw")</f>
        <v/>
      </c>
      <c r="B656" s="9" t="s">
        <v>571</v>
      </c>
      <c r="C656" s="8"/>
      <c r="D656" s="8"/>
      <c r="E656" s="8"/>
      <c r="F656" s="9" t="s">
        <v>445</v>
      </c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12.5" customHeight="1">
      <c r="A657" s="8" t="str">
        <f>IMAGE("https://lh3.googleusercontent.com/u/0/d/1pLJgtsir3hbX7ied3FajeNa6PJx5st__")</f>
        <v/>
      </c>
      <c r="B657" s="9" t="s">
        <v>572</v>
      </c>
      <c r="C657" s="8"/>
      <c r="D657" s="8"/>
      <c r="E657" s="8"/>
      <c r="F657" s="9" t="s">
        <v>445</v>
      </c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12.5" customHeight="1">
      <c r="A658" s="8" t="str">
        <f>IMAGE("https://lh3.googleusercontent.com/u/0/d/1r5U3eeR-WH_Z7jv2fSZB-ZCn5eB1E4gC")</f>
        <v/>
      </c>
      <c r="B658" s="9" t="s">
        <v>573</v>
      </c>
      <c r="C658" s="8"/>
      <c r="D658" s="8"/>
      <c r="E658" s="8"/>
      <c r="F658" s="9" t="s">
        <v>445</v>
      </c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12.5" customHeight="1">
      <c r="A659" s="8" t="str">
        <f>IMAGE("https://lh3.googleusercontent.com/u/0/d/1A3OtLkDJ0E2DCgCNI0tDyv9iZmZFSmcR")</f>
        <v/>
      </c>
      <c r="B659" s="9" t="s">
        <v>574</v>
      </c>
      <c r="C659" s="8"/>
      <c r="D659" s="8"/>
      <c r="E659" s="8"/>
      <c r="F659" s="9" t="s">
        <v>445</v>
      </c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12.5" customHeight="1">
      <c r="A660" s="8" t="str">
        <f>IMAGE("https://lh3.googleusercontent.com/u/0/d/1WVZM91VCtx-3yCngvhOytlWD3OESdCcI")</f>
        <v/>
      </c>
      <c r="B660" s="9" t="s">
        <v>575</v>
      </c>
      <c r="C660" s="8"/>
      <c r="D660" s="8"/>
      <c r="E660" s="8"/>
      <c r="F660" s="9" t="s">
        <v>445</v>
      </c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12.5" customHeight="1">
      <c r="A661" s="8" t="str">
        <f>IMAGE("https://lh3.googleusercontent.com/u/0/d/1VPnsf7Af4WfW7iP-T6EFdiwWNezUn0t1")</f>
        <v/>
      </c>
      <c r="B661" s="9" t="s">
        <v>576</v>
      </c>
      <c r="C661" s="8"/>
      <c r="D661" s="8"/>
      <c r="E661" s="8"/>
      <c r="F661" s="9" t="s">
        <v>445</v>
      </c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12.5" customHeight="1">
      <c r="A662" s="8" t="str">
        <f>IMAGE("https://lh3.googleusercontent.com/u/0/d/1hgweJhMGd8scmIuSTsJ6Fpk_b7fi0U0i")</f>
        <v/>
      </c>
      <c r="B662" s="9" t="s">
        <v>577</v>
      </c>
      <c r="C662" s="8"/>
      <c r="D662" s="8"/>
      <c r="E662" s="8"/>
      <c r="F662" s="9" t="s">
        <v>445</v>
      </c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12.5" customHeight="1">
      <c r="A663" s="8" t="str">
        <f>IMAGE("https://lh3.googleusercontent.com/u/0/d/11AT0eveSyWQMKXHDandHkphhUof6J_TL")</f>
        <v/>
      </c>
      <c r="B663" s="9" t="s">
        <v>578</v>
      </c>
      <c r="C663" s="8"/>
      <c r="D663" s="8"/>
      <c r="E663" s="8"/>
      <c r="F663" s="9" t="s">
        <v>445</v>
      </c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12.5" customHeight="1">
      <c r="A664" s="8" t="str">
        <f>IMAGE("https://lh3.googleusercontent.com/u/0/d/1oK4DiqTeQjIa3hN-0MHGSr6yDB5I3paT")</f>
        <v/>
      </c>
      <c r="B664" s="9" t="s">
        <v>579</v>
      </c>
      <c r="C664" s="8"/>
      <c r="D664" s="8"/>
      <c r="E664" s="8"/>
      <c r="F664" s="9" t="s">
        <v>445</v>
      </c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12.5" customHeight="1">
      <c r="A665" s="8" t="str">
        <f>IMAGE("https://lh3.googleusercontent.com/u/0/d/1ZJIMScsaibTmXFr7zhfzh4g8vA1tlxnF")</f>
        <v/>
      </c>
      <c r="B665" s="9" t="s">
        <v>580</v>
      </c>
      <c r="C665" s="8"/>
      <c r="D665" s="8"/>
      <c r="E665" s="8"/>
      <c r="F665" s="9" t="s">
        <v>445</v>
      </c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12.5" customHeight="1">
      <c r="A666" s="8" t="str">
        <f>IMAGE("https://lh3.googleusercontent.com/u/0/d/1HyraXHEKQESVD4f_gfeXfxJCFA_lMsYB")</f>
        <v/>
      </c>
      <c r="B666" s="9" t="s">
        <v>581</v>
      </c>
      <c r="C666" s="8"/>
      <c r="D666" s="8"/>
      <c r="E666" s="8"/>
      <c r="F666" s="9" t="s">
        <v>445</v>
      </c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12.5" customHeight="1">
      <c r="A667" s="8" t="str">
        <f>IMAGE("https://lh3.googleusercontent.com/u/0/d/1ucGJyS6LkvooNzTVcqK-GziR-GnpmWgV")</f>
        <v/>
      </c>
      <c r="B667" s="9" t="s">
        <v>582</v>
      </c>
      <c r="C667" s="8"/>
      <c r="D667" s="8"/>
      <c r="E667" s="8"/>
      <c r="F667" s="9" t="s">
        <v>445</v>
      </c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12.5" customHeight="1">
      <c r="A668" s="8" t="str">
        <f>IMAGE("https://lh3.googleusercontent.com/u/0/d/1RZwwRMu9xmFeptlQ9LID5bKdYEVd4eCy")</f>
        <v/>
      </c>
      <c r="B668" s="9" t="s">
        <v>583</v>
      </c>
      <c r="C668" s="8"/>
      <c r="D668" s="8"/>
      <c r="E668" s="8"/>
      <c r="F668" s="9" t="s">
        <v>445</v>
      </c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12.5" customHeight="1">
      <c r="A669" s="8" t="str">
        <f>IMAGE("https://lh3.googleusercontent.com/u/0/d/1qz71oE1ADas7lwBrnZVSL7DOvmzU9wNQ")</f>
        <v/>
      </c>
      <c r="B669" s="9" t="s">
        <v>584</v>
      </c>
      <c r="C669" s="8"/>
      <c r="D669" s="8"/>
      <c r="E669" s="8"/>
      <c r="F669" s="9" t="s">
        <v>445</v>
      </c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12.5" customHeight="1">
      <c r="A670" s="8" t="str">
        <f>IMAGE("https://lh3.googleusercontent.com/u/0/d/1kQDOvyDi4Nd-l6twUcU_KEFVvnjOb2Ze")</f>
        <v/>
      </c>
      <c r="B670" s="9" t="s">
        <v>585</v>
      </c>
      <c r="C670" s="8"/>
      <c r="D670" s="8"/>
      <c r="E670" s="8"/>
      <c r="F670" s="9" t="s">
        <v>445</v>
      </c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12.5" customHeight="1">
      <c r="A671" s="8" t="str">
        <f>IMAGE("https://lh3.googleusercontent.com/u/0/d/1ETFxxqHKe3NRzq1Vh5NJ3Uv__tUm9Jz1")</f>
        <v/>
      </c>
      <c r="B671" s="9" t="s">
        <v>586</v>
      </c>
      <c r="C671" s="8"/>
      <c r="D671" s="8"/>
      <c r="E671" s="8"/>
      <c r="F671" s="9" t="s">
        <v>445</v>
      </c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12.5" customHeight="1">
      <c r="A672" s="8" t="str">
        <f>IMAGE("https://lh3.googleusercontent.com/u/0/d/1xRl_UnG3yBtYD-5VTQw2Q62foet3sPW1")</f>
        <v/>
      </c>
      <c r="B672" s="9" t="s">
        <v>587</v>
      </c>
      <c r="C672" s="8"/>
      <c r="D672" s="8"/>
      <c r="E672" s="8"/>
      <c r="F672" s="9" t="s">
        <v>445</v>
      </c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12.5" customHeight="1">
      <c r="A673" s="8" t="str">
        <f>IMAGE("https://lh3.googleusercontent.com/u/0/d/1ErNqhwoPzo-AOzTrm7vuyejhT1lbihdR")</f>
        <v/>
      </c>
      <c r="B673" s="9" t="s">
        <v>588</v>
      </c>
      <c r="C673" s="8"/>
      <c r="D673" s="8"/>
      <c r="E673" s="8"/>
      <c r="F673" s="9" t="s">
        <v>445</v>
      </c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12.5" customHeight="1">
      <c r="A674" s="8" t="str">
        <f>IMAGE("https://lh3.googleusercontent.com/u/0/d/1iLbpbWno0Zp4KEqmyLnWoNFPTQ8-zcpt")</f>
        <v/>
      </c>
      <c r="B674" s="9" t="s">
        <v>589</v>
      </c>
      <c r="C674" s="8"/>
      <c r="D674" s="8"/>
      <c r="E674" s="8"/>
      <c r="F674" s="9" t="s">
        <v>445</v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12.5" customHeight="1">
      <c r="A675" s="8" t="str">
        <f>IMAGE("https://lh3.googleusercontent.com/u/0/d/1bL5hopFW4Qf-lS1wOKenbLjVcs39R75E")</f>
        <v/>
      </c>
      <c r="B675" s="9" t="s">
        <v>590</v>
      </c>
      <c r="C675" s="8"/>
      <c r="D675" s="8"/>
      <c r="E675" s="8"/>
      <c r="F675" s="9" t="s">
        <v>445</v>
      </c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12.5" customHeight="1">
      <c r="A676" s="8" t="str">
        <f>IMAGE("https://lh3.googleusercontent.com/u/0/d/1bNHTW0wZj_wdGj_jWC6r5B-YKhmJlGUQ")</f>
        <v/>
      </c>
      <c r="B676" s="9" t="s">
        <v>591</v>
      </c>
      <c r="C676" s="8"/>
      <c r="D676" s="8"/>
      <c r="E676" s="8"/>
      <c r="F676" s="9" t="s">
        <v>445</v>
      </c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12.5" customHeight="1">
      <c r="A677" s="8" t="str">
        <f>IMAGE("https://lh3.googleusercontent.com/u/0/d/180nBV9RcKRVSgxUiAIpXzYHt1KNnMhel")</f>
        <v/>
      </c>
      <c r="B677" s="9" t="s">
        <v>592</v>
      </c>
      <c r="C677" s="8"/>
      <c r="D677" s="8"/>
      <c r="E677" s="8"/>
      <c r="F677" s="9" t="s">
        <v>445</v>
      </c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12.5" customHeight="1">
      <c r="A678" s="8" t="str">
        <f>IMAGE("https://lh3.googleusercontent.com/u/0/d/1C7MFzLIbajKX_R47TkvDhlLjbD85lZYz")</f>
        <v/>
      </c>
      <c r="B678" s="9" t="s">
        <v>593</v>
      </c>
      <c r="C678" s="8"/>
      <c r="D678" s="8"/>
      <c r="E678" s="8"/>
      <c r="F678" s="9" t="s">
        <v>445</v>
      </c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12.5" customHeight="1">
      <c r="A679" s="8" t="str">
        <f>IMAGE("https://lh3.googleusercontent.com/u/0/d/1BVtzEpNaHIrACqSFKXvyUgGcjkVA11w7")</f>
        <v/>
      </c>
      <c r="B679" s="9" t="s">
        <v>594</v>
      </c>
      <c r="C679" s="8"/>
      <c r="D679" s="8"/>
      <c r="E679" s="8"/>
      <c r="F679" s="9" t="s">
        <v>445</v>
      </c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12.5" customHeight="1">
      <c r="A680" s="8" t="str">
        <f>IMAGE("https://lh3.googleusercontent.com/u/0/d/1q--dVk9CPuBjPSWRk02OPab6gTlyKgib")</f>
        <v/>
      </c>
      <c r="B680" s="9" t="s">
        <v>595</v>
      </c>
      <c r="C680" s="8"/>
      <c r="D680" s="8"/>
      <c r="E680" s="8"/>
      <c r="F680" s="9" t="s">
        <v>445</v>
      </c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12.5" customHeight="1">
      <c r="A681" s="8" t="str">
        <f>IMAGE("https://lh3.googleusercontent.com/u/0/d/1z03kvfin0r1B9Sj3dH5Gjm4j5zd-F_oD")</f>
        <v/>
      </c>
      <c r="B681" s="9" t="s">
        <v>596</v>
      </c>
      <c r="C681" s="8"/>
      <c r="D681" s="8"/>
      <c r="E681" s="8"/>
      <c r="F681" s="9" t="s">
        <v>445</v>
      </c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12.5" customHeight="1">
      <c r="A682" s="8" t="str">
        <f>IMAGE("https://lh3.googleusercontent.com/u/0/d/1EATX1Za1kVDWG3NL2IAR_oXAp6STGAiR")</f>
        <v/>
      </c>
      <c r="B682" s="9" t="s">
        <v>597</v>
      </c>
      <c r="C682" s="8"/>
      <c r="D682" s="8"/>
      <c r="E682" s="8"/>
      <c r="F682" s="9" t="s">
        <v>445</v>
      </c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12.5" customHeight="1">
      <c r="A683" s="8" t="str">
        <f>IMAGE("https://lh3.googleusercontent.com/u/0/d/1MFlQEJUD-v7WYLWZJdvUXH47Nf3G21mj")</f>
        <v/>
      </c>
      <c r="B683" s="9" t="s">
        <v>598</v>
      </c>
      <c r="C683" s="8"/>
      <c r="D683" s="8"/>
      <c r="E683" s="8"/>
      <c r="F683" s="9" t="s">
        <v>445</v>
      </c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12.5" customHeight="1">
      <c r="A684" s="8" t="str">
        <f>IMAGE("https://lh3.googleusercontent.com/u/0/d/1UmYXZ5HCxdBvX8Wmc-cozJv800W6R5x7")</f>
        <v/>
      </c>
      <c r="B684" s="9" t="s">
        <v>599</v>
      </c>
      <c r="C684" s="8"/>
      <c r="D684" s="8"/>
      <c r="E684" s="8"/>
      <c r="F684" s="9" t="s">
        <v>445</v>
      </c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12.5" customHeight="1">
      <c r="A685" s="8" t="str">
        <f>IMAGE("https://lh3.googleusercontent.com/u/0/d/1vySrlBUu55jNPe2LjOVZ57Uvz7dfyrLR")</f>
        <v/>
      </c>
      <c r="B685" s="9" t="s">
        <v>600</v>
      </c>
      <c r="C685" s="8"/>
      <c r="D685" s="8"/>
      <c r="E685" s="8"/>
      <c r="F685" s="9" t="s">
        <v>445</v>
      </c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12.5" customHeight="1">
      <c r="A686" s="8" t="str">
        <f>IMAGE("https://lh3.googleusercontent.com/u/0/d/1sAQRj2mUV9MBkr6gfngGnNdg2WkWQFK9")</f>
        <v/>
      </c>
      <c r="B686" s="9" t="s">
        <v>601</v>
      </c>
      <c r="C686" s="8"/>
      <c r="D686" s="8"/>
      <c r="E686" s="8"/>
      <c r="F686" s="9" t="s">
        <v>445</v>
      </c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12.5" customHeight="1">
      <c r="A687" s="8" t="str">
        <f>IMAGE("https://lh3.googleusercontent.com/u/0/d/1cTCPUO196z_8Fn5ivFRkFoNnUszinw-S")</f>
        <v/>
      </c>
      <c r="B687" s="9" t="s">
        <v>602</v>
      </c>
      <c r="C687" s="8"/>
      <c r="D687" s="8"/>
      <c r="E687" s="8"/>
      <c r="F687" s="9" t="s">
        <v>445</v>
      </c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12.5" customHeight="1">
      <c r="A688" s="8" t="str">
        <f>IMAGE("https://lh3.googleusercontent.com/u/0/d/1Tv27uYEcRoARuIr-ygD8_WPRiRXFiE3E")</f>
        <v/>
      </c>
      <c r="B688" s="9" t="s">
        <v>603</v>
      </c>
      <c r="C688" s="8"/>
      <c r="D688" s="8"/>
      <c r="E688" s="8"/>
      <c r="F688" s="9" t="s">
        <v>445</v>
      </c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12.5" customHeight="1">
      <c r="A689" s="8" t="str">
        <f>IMAGE("https://lh3.googleusercontent.com/u/0/d/1dkU9h_-IVunBRxBdh0iEfa8IZ_d8jezj")</f>
        <v/>
      </c>
      <c r="B689" s="9" t="s">
        <v>604</v>
      </c>
      <c r="C689" s="8"/>
      <c r="D689" s="8"/>
      <c r="E689" s="8"/>
      <c r="F689" s="9" t="s">
        <v>445</v>
      </c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12.5" customHeight="1">
      <c r="A690" s="8" t="str">
        <f>IMAGE("https://lh3.googleusercontent.com/u/0/d/1Po8dlhUd_8rcanRu-KLw7ESmSHgf6oQz")</f>
        <v/>
      </c>
      <c r="B690" s="9" t="s">
        <v>605</v>
      </c>
      <c r="C690" s="8"/>
      <c r="D690" s="8"/>
      <c r="E690" s="8"/>
      <c r="F690" s="9" t="s">
        <v>445</v>
      </c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12.5" customHeight="1">
      <c r="A691" s="8" t="str">
        <f>IMAGE("https://lh3.googleusercontent.com/u/0/d/1sq9hd65DI5gv0UIv6Oz4GCQ9kt6HgaxW")</f>
        <v/>
      </c>
      <c r="B691" s="9" t="s">
        <v>606</v>
      </c>
      <c r="C691" s="8"/>
      <c r="D691" s="8"/>
      <c r="E691" s="8"/>
      <c r="F691" s="9" t="s">
        <v>445</v>
      </c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12.5" customHeight="1">
      <c r="A692" s="8" t="str">
        <f>IMAGE("https://lh3.googleusercontent.com/u/0/d/1Waub1kcIH5eBl2zFppU6LxeuUyRIJv7B")</f>
        <v/>
      </c>
      <c r="B692" s="9" t="s">
        <v>607</v>
      </c>
      <c r="C692" s="8"/>
      <c r="D692" s="8"/>
      <c r="E692" s="8"/>
      <c r="F692" s="9" t="s">
        <v>445</v>
      </c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12.5" customHeight="1">
      <c r="A693" s="8" t="str">
        <f>IMAGE("https://lh3.googleusercontent.com/u/0/d/1NXfos7RaLTIGyd6ZVEiBt3mEo1qWWNOC")</f>
        <v/>
      </c>
      <c r="B693" s="9" t="s">
        <v>608</v>
      </c>
      <c r="C693" s="8"/>
      <c r="D693" s="8"/>
      <c r="E693" s="8"/>
      <c r="F693" s="9" t="s">
        <v>445</v>
      </c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12.5" customHeight="1">
      <c r="A694" s="8" t="str">
        <f>IMAGE("https://lh3.googleusercontent.com/u/0/d/18sQ-VO4qyhJ3ZJTYJfxstOdht_Tdx1lM")</f>
        <v/>
      </c>
      <c r="B694" s="9" t="s">
        <v>609</v>
      </c>
      <c r="C694" s="8"/>
      <c r="D694" s="8"/>
      <c r="E694" s="8"/>
      <c r="F694" s="9" t="s">
        <v>445</v>
      </c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12.5" customHeight="1">
      <c r="A695" s="8" t="str">
        <f>IMAGE("https://lh3.googleusercontent.com/u/0/d/1--i5htF9C5gWomlbZbI0Q8rTCIxGUee5")</f>
        <v/>
      </c>
      <c r="B695" s="9" t="s">
        <v>610</v>
      </c>
      <c r="C695" s="8"/>
      <c r="D695" s="8"/>
      <c r="E695" s="8"/>
      <c r="F695" s="9" t="s">
        <v>445</v>
      </c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12.5" customHeight="1">
      <c r="A696" s="8" t="str">
        <f>IMAGE("https://lh3.googleusercontent.com/u/0/d/146tOAqi7Olg9r5oVyN4iqor5l61sMYFA")</f>
        <v/>
      </c>
      <c r="B696" s="9" t="s">
        <v>611</v>
      </c>
      <c r="C696" s="8"/>
      <c r="D696" s="8"/>
      <c r="E696" s="8"/>
      <c r="F696" s="9" t="s">
        <v>445</v>
      </c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12.5" customHeight="1">
      <c r="A697" s="8" t="str">
        <f>IMAGE("https://lh3.googleusercontent.com/u/0/d/1zF9LkjT2GRIJFpUG3Kv8x0CZjv6RT_m9")</f>
        <v/>
      </c>
      <c r="B697" s="9" t="s">
        <v>612</v>
      </c>
      <c r="C697" s="8"/>
      <c r="D697" s="8"/>
      <c r="E697" s="8"/>
      <c r="F697" s="9" t="s">
        <v>445</v>
      </c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12.5" customHeight="1">
      <c r="A698" s="8" t="str">
        <f>IMAGE("https://lh3.googleusercontent.com/u/0/d/1p9z_pKayysnf4Xf-MyuxUYVOIeqHZBI0")</f>
        <v/>
      </c>
      <c r="B698" s="9" t="s">
        <v>613</v>
      </c>
      <c r="C698" s="8"/>
      <c r="D698" s="8"/>
      <c r="E698" s="8"/>
      <c r="F698" s="9" t="s">
        <v>445</v>
      </c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12.5" customHeight="1">
      <c r="A699" s="8" t="str">
        <f>IMAGE("https://lh3.googleusercontent.com/u/0/d/1zXj8jVBUC5H232VgVM5EuE21YclBGrg6")</f>
        <v/>
      </c>
      <c r="B699" s="9" t="s">
        <v>614</v>
      </c>
      <c r="C699" s="8"/>
      <c r="D699" s="8"/>
      <c r="E699" s="8"/>
      <c r="F699" s="9" t="s">
        <v>445</v>
      </c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12.5" customHeight="1">
      <c r="A700" s="8" t="str">
        <f>IMAGE("https://lh3.googleusercontent.com/u/0/d/1N1iu9ZFcd2WNJvGOjIDgUu-Bn89C48JD")</f>
        <v/>
      </c>
      <c r="B700" s="9" t="s">
        <v>615</v>
      </c>
      <c r="C700" s="8"/>
      <c r="D700" s="8"/>
      <c r="E700" s="8"/>
      <c r="F700" s="9" t="s">
        <v>445</v>
      </c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12.5" customHeight="1">
      <c r="A701" s="8" t="str">
        <f>IMAGE("https://lh3.googleusercontent.com/u/0/d/1Ki-79PnDgEeytMXbHfbTck1htViF1RGz")</f>
        <v/>
      </c>
      <c r="B701" s="9" t="s">
        <v>616</v>
      </c>
      <c r="C701" s="8"/>
      <c r="D701" s="8"/>
      <c r="E701" s="8"/>
      <c r="F701" s="9" t="s">
        <v>445</v>
      </c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12.5" customHeight="1">
      <c r="A702" s="8" t="str">
        <f>IMAGE("https://lh3.googleusercontent.com/u/0/d/17se3Aqtlr1d3JI3Qv-qZ7VLn3c_m_ran")</f>
        <v/>
      </c>
      <c r="B702" s="9" t="s">
        <v>617</v>
      </c>
      <c r="C702" s="8"/>
      <c r="D702" s="8"/>
      <c r="E702" s="8"/>
      <c r="F702" s="9" t="s">
        <v>445</v>
      </c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12.5" customHeight="1">
      <c r="A703" s="8" t="str">
        <f>IMAGE("https://lh3.googleusercontent.com/u/0/d/13FKUBqN1oTATSQNZCr8LJLcGSTLaVBOU")</f>
        <v/>
      </c>
      <c r="B703" s="9" t="s">
        <v>618</v>
      </c>
      <c r="C703" s="8"/>
      <c r="D703" s="8"/>
      <c r="E703" s="8"/>
      <c r="F703" s="9" t="s">
        <v>445</v>
      </c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12.5" customHeight="1">
      <c r="A704" s="8" t="str">
        <f>IMAGE("https://lh3.googleusercontent.com/u/0/d/1diErSLfJcMAwrnWMh12tLK7MthpwqMjk")</f>
        <v/>
      </c>
      <c r="B704" s="9" t="s">
        <v>619</v>
      </c>
      <c r="C704" s="8"/>
      <c r="D704" s="8"/>
      <c r="E704" s="8"/>
      <c r="F704" s="9" t="s">
        <v>445</v>
      </c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12.5" customHeight="1">
      <c r="A705" s="8" t="str">
        <f>IMAGE("https://lh3.googleusercontent.com/u/0/d/1AhthaZu6fez6tYJ3fto1XzNAHiO3lNLT")</f>
        <v/>
      </c>
      <c r="B705" s="9" t="s">
        <v>620</v>
      </c>
      <c r="C705" s="8"/>
      <c r="D705" s="8"/>
      <c r="E705" s="8"/>
      <c r="F705" s="9" t="s">
        <v>445</v>
      </c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12.5" customHeight="1">
      <c r="A706" s="8" t="str">
        <f>IMAGE("https://lh3.googleusercontent.com/u/0/d/1E1qgSp_HMFjOsX_LEO2B_vlGzF8J0hys")</f>
        <v/>
      </c>
      <c r="B706" s="9" t="s">
        <v>621</v>
      </c>
      <c r="C706" s="8"/>
      <c r="D706" s="8"/>
      <c r="E706" s="8"/>
      <c r="F706" s="9" t="s">
        <v>445</v>
      </c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12.5" customHeight="1">
      <c r="A707" s="8" t="str">
        <f>IMAGE("https://lh3.googleusercontent.com/u/0/d/1Qax5DkpaajZe60M3fn7ICdP3rRFwEUbN")</f>
        <v/>
      </c>
      <c r="B707" s="9" t="s">
        <v>622</v>
      </c>
      <c r="C707" s="8"/>
      <c r="D707" s="8"/>
      <c r="E707" s="8"/>
      <c r="F707" s="9" t="s">
        <v>445</v>
      </c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12.5" customHeight="1">
      <c r="A708" s="8" t="str">
        <f>IMAGE("https://lh3.googleusercontent.com/u/0/d/1u1oPMYe1o7y5wLAiPSA_M01eiTCh7psB")</f>
        <v/>
      </c>
      <c r="B708" s="9" t="s">
        <v>623</v>
      </c>
      <c r="C708" s="8"/>
      <c r="D708" s="8"/>
      <c r="E708" s="8"/>
      <c r="F708" s="9" t="s">
        <v>445</v>
      </c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12.5" customHeight="1">
      <c r="A709" s="8" t="str">
        <f>IMAGE("https://lh3.googleusercontent.com/u/0/d/18o9X0meEgPgD9qwU_EXYde1Qz4AVqIgn")</f>
        <v/>
      </c>
      <c r="B709" s="9" t="s">
        <v>624</v>
      </c>
      <c r="C709" s="8"/>
      <c r="D709" s="8"/>
      <c r="E709" s="8"/>
      <c r="F709" s="9" t="s">
        <v>445</v>
      </c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12.5" customHeight="1">
      <c r="A710" s="8" t="str">
        <f>IMAGE("https://lh3.googleusercontent.com/u/0/d/12YOzpM9tAR91Z34ldiydgdG_eaG4gDzO")</f>
        <v/>
      </c>
      <c r="B710" s="9" t="s">
        <v>625</v>
      </c>
      <c r="C710" s="8"/>
      <c r="D710" s="8"/>
      <c r="E710" s="8"/>
      <c r="F710" s="9" t="s">
        <v>445</v>
      </c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12.5" customHeight="1">
      <c r="A711" s="8" t="str">
        <f>IMAGE("https://lh3.googleusercontent.com/u/0/d/1_GC6MMCpw6DaSY6v3dal1RatUO9NIQDk")</f>
        <v/>
      </c>
      <c r="B711" s="9" t="s">
        <v>626</v>
      </c>
      <c r="C711" s="8"/>
      <c r="D711" s="8"/>
      <c r="E711" s="8"/>
      <c r="F711" s="9" t="s">
        <v>445</v>
      </c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12.5" customHeight="1">
      <c r="A712" s="8" t="str">
        <f>IMAGE("https://lh3.googleusercontent.com/u/0/d/1kWVa0XYDKo-1LsD68R_BBwI8FBhlREPG")</f>
        <v/>
      </c>
      <c r="B712" s="9" t="s">
        <v>627</v>
      </c>
      <c r="C712" s="8"/>
      <c r="D712" s="8"/>
      <c r="E712" s="8"/>
      <c r="F712" s="9" t="s">
        <v>445</v>
      </c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12.5" customHeight="1">
      <c r="A713" s="8" t="str">
        <f>IMAGE("https://lh3.googleusercontent.com/u/0/d/168gLHi44Z29PDAVdASa76MwWud7PE7ZL")</f>
        <v/>
      </c>
      <c r="B713" s="9" t="s">
        <v>628</v>
      </c>
      <c r="C713" s="8"/>
      <c r="D713" s="8"/>
      <c r="E713" s="8"/>
      <c r="F713" s="9" t="s">
        <v>445</v>
      </c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12.5" customHeight="1">
      <c r="A714" s="8" t="str">
        <f>IMAGE("https://lh3.googleusercontent.com/u/0/d/1NWuFw7gPydvU6w4cJEnnqGX3x67wuJCz")</f>
        <v/>
      </c>
      <c r="B714" s="9" t="s">
        <v>629</v>
      </c>
      <c r="C714" s="8"/>
      <c r="D714" s="8"/>
      <c r="E714" s="8"/>
      <c r="F714" s="9" t="s">
        <v>445</v>
      </c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12.5" customHeight="1">
      <c r="A715" s="8" t="str">
        <f>IMAGE("https://lh3.googleusercontent.com/u/0/d/10wD9iSV1qWQlckUNL1gRcAAxCQQHhPDG")</f>
        <v/>
      </c>
      <c r="B715" s="9" t="s">
        <v>630</v>
      </c>
      <c r="C715" s="8"/>
      <c r="D715" s="8"/>
      <c r="E715" s="8"/>
      <c r="F715" s="9" t="s">
        <v>445</v>
      </c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12.5" customHeight="1">
      <c r="A716" s="8" t="str">
        <f>IMAGE("https://lh3.googleusercontent.com/u/0/d/1tqASwAHKTP8NzVyb649C8vZaVT9DgbqT")</f>
        <v/>
      </c>
      <c r="B716" s="9" t="s">
        <v>631</v>
      </c>
      <c r="C716" s="8"/>
      <c r="D716" s="8"/>
      <c r="E716" s="8"/>
      <c r="F716" s="9" t="s">
        <v>445</v>
      </c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12.5" customHeight="1">
      <c r="A717" s="8" t="str">
        <f>IMAGE("https://lh3.googleusercontent.com/u/0/d/1DEgK1MxNwT2t5rtKc0QEwA-Ssp3hcN1g")</f>
        <v/>
      </c>
      <c r="B717" s="9" t="s">
        <v>632</v>
      </c>
      <c r="C717" s="8"/>
      <c r="D717" s="8"/>
      <c r="E717" s="8"/>
      <c r="F717" s="9" t="s">
        <v>445</v>
      </c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12.5" customHeight="1">
      <c r="A718" s="8" t="str">
        <f>IMAGE("https://lh3.googleusercontent.com/u/0/d/1Z07MEpqyIvJQQXP2IBiqEkmHoNZMd-PI")</f>
        <v/>
      </c>
      <c r="B718" s="9" t="s">
        <v>633</v>
      </c>
      <c r="C718" s="8"/>
      <c r="D718" s="8"/>
      <c r="E718" s="8"/>
      <c r="F718" s="9" t="s">
        <v>445</v>
      </c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12.5" customHeight="1">
      <c r="A719" s="8" t="str">
        <f>IMAGE("https://lh3.googleusercontent.com/u/0/d/11SuV4ciqX1g6wWlJdsPrnDskZGM2VS8A")</f>
        <v/>
      </c>
      <c r="B719" s="9" t="s">
        <v>634</v>
      </c>
      <c r="C719" s="8"/>
      <c r="D719" s="8"/>
      <c r="E719" s="8"/>
      <c r="F719" s="9" t="s">
        <v>445</v>
      </c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12.5" customHeight="1">
      <c r="A720" s="8" t="str">
        <f>IMAGE("https://lh3.googleusercontent.com/u/0/d/1i_qTPVGL__hXQk-0OBXtJwlqVnNS3ssW")</f>
        <v/>
      </c>
      <c r="B720" s="9" t="s">
        <v>635</v>
      </c>
      <c r="C720" s="8"/>
      <c r="D720" s="8"/>
      <c r="E720" s="8"/>
      <c r="F720" s="9" t="s">
        <v>445</v>
      </c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12.5" customHeight="1">
      <c r="A721" s="8" t="str">
        <f>IMAGE("https://lh3.googleusercontent.com/u/0/d/1lmfsvyZFT-eW6v52-hE7DfXk2BxuQRtW")</f>
        <v/>
      </c>
      <c r="B721" s="9" t="s">
        <v>636</v>
      </c>
      <c r="C721" s="8"/>
      <c r="D721" s="8"/>
      <c r="E721" s="8"/>
      <c r="F721" s="9" t="s">
        <v>445</v>
      </c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12.5" customHeight="1">
      <c r="A722" s="8" t="str">
        <f>IMAGE("https://lh3.googleusercontent.com/u/0/d/105No_7yfkn5gueVrreeXLc3RR6LykJor")</f>
        <v/>
      </c>
      <c r="B722" s="9" t="s">
        <v>637</v>
      </c>
      <c r="C722" s="8"/>
      <c r="D722" s="8"/>
      <c r="E722" s="8"/>
      <c r="F722" s="9" t="s">
        <v>445</v>
      </c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12.5" customHeight="1">
      <c r="A723" s="8" t="str">
        <f>IMAGE("https://lh3.googleusercontent.com/u/0/d/1KpLbmsZCytd3Jjql9D1vWYky12gJUzVG")</f>
        <v/>
      </c>
      <c r="B723" s="9" t="s">
        <v>638</v>
      </c>
      <c r="C723" s="8"/>
      <c r="D723" s="8"/>
      <c r="E723" s="8"/>
      <c r="F723" s="9" t="s">
        <v>445</v>
      </c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12.5" customHeight="1">
      <c r="A724" s="8" t="str">
        <f>IMAGE("https://lh3.googleusercontent.com/u/0/d/1c5YoAvy9Ta6shjld4CWn_jiuyAqrCELZ")</f>
        <v/>
      </c>
      <c r="B724" s="9" t="s">
        <v>639</v>
      </c>
      <c r="C724" s="8"/>
      <c r="D724" s="8"/>
      <c r="E724" s="8"/>
      <c r="F724" s="9" t="s">
        <v>445</v>
      </c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12.5" customHeight="1">
      <c r="A725" s="8" t="str">
        <f>IMAGE("https://lh3.googleusercontent.com/u/0/d/16Cm47doz6zOyA5wsv6oDLd0-qdlVq-80")</f>
        <v/>
      </c>
      <c r="B725" s="9" t="s">
        <v>640</v>
      </c>
      <c r="C725" s="8"/>
      <c r="D725" s="8"/>
      <c r="E725" s="8"/>
      <c r="F725" s="9" t="s">
        <v>445</v>
      </c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12.5" customHeight="1">
      <c r="A726" s="8" t="str">
        <f>IMAGE("https://lh3.googleusercontent.com/u/0/d/1U2fMk4pvU0TGzxwr78sjG1AbbzyJkUYG")</f>
        <v/>
      </c>
      <c r="B726" s="9" t="s">
        <v>641</v>
      </c>
      <c r="C726" s="8"/>
      <c r="D726" s="8"/>
      <c r="E726" s="8"/>
      <c r="F726" s="9" t="s">
        <v>445</v>
      </c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12.5" customHeight="1">
      <c r="A727" s="8" t="str">
        <f>IMAGE("https://lh3.googleusercontent.com/u/0/d/1gfhgKnImltUyXTyYqQYoHSy0Apy4xCyV")</f>
        <v/>
      </c>
      <c r="B727" s="9" t="s">
        <v>642</v>
      </c>
      <c r="C727" s="8"/>
      <c r="D727" s="8"/>
      <c r="E727" s="8"/>
      <c r="F727" s="9" t="s">
        <v>445</v>
      </c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12.5" customHeight="1">
      <c r="A728" s="8" t="str">
        <f>IMAGE("https://lh3.googleusercontent.com/u/0/d/1K_kJ5qdk4ZR7WTdwHxzBQMeuJZGu5zx5")</f>
        <v/>
      </c>
      <c r="B728" s="9" t="s">
        <v>643</v>
      </c>
      <c r="C728" s="8"/>
      <c r="D728" s="8"/>
      <c r="E728" s="8"/>
      <c r="F728" s="9" t="s">
        <v>445</v>
      </c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12.5" customHeight="1">
      <c r="A729" s="8" t="str">
        <f>IMAGE("https://lh3.googleusercontent.com/u/0/d/1UGJ801KzoNg4IQieZ-wq6VBW5_9x07tX")</f>
        <v/>
      </c>
      <c r="B729" s="9" t="s">
        <v>644</v>
      </c>
      <c r="C729" s="8"/>
      <c r="D729" s="8"/>
      <c r="E729" s="8"/>
      <c r="F729" s="9" t="s">
        <v>445</v>
      </c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12.5" customHeight="1">
      <c r="A730" s="8" t="str">
        <f>IMAGE("https://lh3.googleusercontent.com/u/0/d/1gkcYtdc2tA1EBPd0YHWZw2VKm-cESkkr")</f>
        <v/>
      </c>
      <c r="B730" s="9" t="s">
        <v>645</v>
      </c>
      <c r="C730" s="8"/>
      <c r="D730" s="8"/>
      <c r="E730" s="8"/>
      <c r="F730" s="9" t="s">
        <v>445</v>
      </c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12.5" customHeight="1">
      <c r="A731" s="8" t="str">
        <f>IMAGE("https://lh3.googleusercontent.com/u/0/d/1wBtDNiQum_oMD1GMPoR0IOsFzzz5LKrS")</f>
        <v/>
      </c>
      <c r="B731" s="9" t="s">
        <v>646</v>
      </c>
      <c r="C731" s="8"/>
      <c r="D731" s="8"/>
      <c r="E731" s="8"/>
      <c r="F731" s="9" t="s">
        <v>445</v>
      </c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12.5" customHeight="1">
      <c r="A732" s="8" t="str">
        <f>IMAGE("https://lh3.googleusercontent.com/u/0/d/18SDL8ItibFhzDi6Vyo17xIr3KjmUkvpu")</f>
        <v/>
      </c>
      <c r="B732" s="9" t="s">
        <v>647</v>
      </c>
      <c r="C732" s="8"/>
      <c r="D732" s="8"/>
      <c r="E732" s="8"/>
      <c r="F732" s="9" t="s">
        <v>445</v>
      </c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12.5" customHeight="1">
      <c r="A733" s="8" t="str">
        <f>IMAGE("https://lh3.googleusercontent.com/u/0/d/1oiBFV4aF7biEKo28zOh2Hd6YSwhek3FU")</f>
        <v/>
      </c>
      <c r="B733" s="9" t="s">
        <v>648</v>
      </c>
      <c r="C733" s="8"/>
      <c r="D733" s="8"/>
      <c r="E733" s="8"/>
      <c r="F733" s="9" t="s">
        <v>445</v>
      </c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12.5" customHeight="1">
      <c r="A734" s="8" t="str">
        <f>IMAGE("https://lh3.googleusercontent.com/u/0/d/1CC1tSeXFeRxR_1PiD4l6dU9tTcEbmrTk")</f>
        <v/>
      </c>
      <c r="B734" s="9" t="s">
        <v>649</v>
      </c>
      <c r="C734" s="8"/>
      <c r="D734" s="8"/>
      <c r="E734" s="8"/>
      <c r="F734" s="9" t="s">
        <v>445</v>
      </c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12.5" customHeight="1">
      <c r="A735" s="8" t="str">
        <f>IMAGE("https://lh3.googleusercontent.com/u/0/d/1MtmeVgbgiKbJ6w0cKiFygFBE9uRs7cHu")</f>
        <v/>
      </c>
      <c r="B735" s="9" t="s">
        <v>650</v>
      </c>
      <c r="C735" s="8"/>
      <c r="D735" s="8"/>
      <c r="E735" s="8"/>
      <c r="F735" s="9" t="s">
        <v>445</v>
      </c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12.5" customHeight="1">
      <c r="A736" s="8" t="str">
        <f>IMAGE("https://lh3.googleusercontent.com/u/0/d/1Od4cP1pTgZO9Z44NHev6spw8MA8lGppn")</f>
        <v/>
      </c>
      <c r="B736" s="9" t="s">
        <v>651</v>
      </c>
      <c r="C736" s="8"/>
      <c r="D736" s="8"/>
      <c r="E736" s="8"/>
      <c r="F736" s="9" t="s">
        <v>445</v>
      </c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12.5" customHeight="1">
      <c r="A737" s="8" t="str">
        <f>IMAGE("https://lh3.googleusercontent.com/u/0/d/1cMJWRqGOGvEoyMp86jWcRh3kH6RQiaEH")</f>
        <v/>
      </c>
      <c r="B737" s="9" t="s">
        <v>652</v>
      </c>
      <c r="C737" s="8"/>
      <c r="D737" s="8"/>
      <c r="E737" s="8"/>
      <c r="F737" s="9" t="s">
        <v>445</v>
      </c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12.5" customHeight="1">
      <c r="A738" s="8" t="str">
        <f>IMAGE("https://lh3.googleusercontent.com/u/0/d/1rBjSxVDRhrEYl2GB86CRKteWLAamPYY8")</f>
        <v/>
      </c>
      <c r="B738" s="9" t="s">
        <v>653</v>
      </c>
      <c r="C738" s="8"/>
      <c r="D738" s="8"/>
      <c r="E738" s="8"/>
      <c r="F738" s="9" t="s">
        <v>445</v>
      </c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12.5" customHeight="1">
      <c r="A739" s="8" t="str">
        <f>IMAGE("https://lh3.googleusercontent.com/u/0/d/1BVg5xu7gABeof5ZsixKWUAnWAvLYY2mv")</f>
        <v/>
      </c>
      <c r="B739" s="9" t="s">
        <v>654</v>
      </c>
      <c r="C739" s="8"/>
      <c r="D739" s="8"/>
      <c r="E739" s="8"/>
      <c r="F739" s="9" t="s">
        <v>445</v>
      </c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12.5" customHeight="1">
      <c r="A740" s="8" t="str">
        <f>IMAGE("https://lh3.googleusercontent.com/u/0/d/1oNk9XeCIdz8TCumew2sk2i5FMuSosOoN")</f>
        <v/>
      </c>
      <c r="B740" s="9" t="s">
        <v>655</v>
      </c>
      <c r="C740" s="8"/>
      <c r="D740" s="8"/>
      <c r="E740" s="8"/>
      <c r="F740" s="9" t="s">
        <v>445</v>
      </c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12.5" customHeight="1">
      <c r="A741" s="8" t="str">
        <f>IMAGE("https://lh3.googleusercontent.com/u/0/d/1SIiWICxNv3n4zpLGRonGK1eLt94WnOh6")</f>
        <v/>
      </c>
      <c r="B741" s="9" t="s">
        <v>656</v>
      </c>
      <c r="C741" s="8"/>
      <c r="D741" s="8"/>
      <c r="E741" s="8"/>
      <c r="F741" s="9" t="s">
        <v>445</v>
      </c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12.5" customHeight="1">
      <c r="A742" s="8" t="str">
        <f>IMAGE("https://lh3.googleusercontent.com/u/0/d/1eHaPNWWDSkqd3fo4PHWG8XHBgUF0edB-")</f>
        <v/>
      </c>
      <c r="B742" s="9" t="s">
        <v>657</v>
      </c>
      <c r="C742" s="8"/>
      <c r="D742" s="8"/>
      <c r="E742" s="8"/>
      <c r="F742" s="9" t="s">
        <v>445</v>
      </c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12.5" customHeight="1">
      <c r="A743" s="8" t="str">
        <f>IMAGE("https://lh3.googleusercontent.com/u/0/d/17ZshmJ7ue_6SrVLA2XRbd_0PrDfRuiT5")</f>
        <v/>
      </c>
      <c r="B743" s="9" t="s">
        <v>658</v>
      </c>
      <c r="C743" s="8"/>
      <c r="D743" s="8"/>
      <c r="E743" s="8"/>
      <c r="F743" s="9" t="s">
        <v>445</v>
      </c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12.5" customHeight="1">
      <c r="A744" s="8" t="str">
        <f>IMAGE("https://lh3.googleusercontent.com/u/0/d/14wHAxMo_LNMDUPOQG5mzov_5TgN5bt58")</f>
        <v/>
      </c>
      <c r="B744" s="9" t="s">
        <v>659</v>
      </c>
      <c r="C744" s="8"/>
      <c r="D744" s="8"/>
      <c r="E744" s="8"/>
      <c r="F744" s="9" t="s">
        <v>445</v>
      </c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12.5" customHeight="1">
      <c r="A745" s="8" t="str">
        <f>IMAGE("https://lh3.googleusercontent.com/u/0/d/1tpwGvOs42jm3cThg6vFCRBmpuQ3NqMcB")</f>
        <v/>
      </c>
      <c r="B745" s="9" t="s">
        <v>660</v>
      </c>
      <c r="C745" s="8"/>
      <c r="D745" s="8"/>
      <c r="E745" s="8"/>
      <c r="F745" s="9" t="s">
        <v>445</v>
      </c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12.5" customHeight="1">
      <c r="A746" s="8" t="str">
        <f>IMAGE("https://lh3.googleusercontent.com/u/0/d/133RFbTYEiFlJFnAAbsc0HWXt6H_3XtyY")</f>
        <v/>
      </c>
      <c r="B746" s="9" t="s">
        <v>661</v>
      </c>
      <c r="C746" s="8"/>
      <c r="D746" s="8"/>
      <c r="E746" s="8"/>
      <c r="F746" s="9" t="s">
        <v>445</v>
      </c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12.5" customHeight="1">
      <c r="A747" s="8" t="str">
        <f>IMAGE("https://lh3.googleusercontent.com/u/0/d/1XADBF-oyOL4Rf_La0hgFUwJik_Bg_O-N")</f>
        <v/>
      </c>
      <c r="B747" s="9" t="s">
        <v>662</v>
      </c>
      <c r="C747" s="8"/>
      <c r="D747" s="8"/>
      <c r="E747" s="8"/>
      <c r="F747" s="9" t="s">
        <v>445</v>
      </c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12.5" customHeight="1">
      <c r="A748" s="8" t="str">
        <f>IMAGE("https://lh3.googleusercontent.com/u/0/d/1-6iEdhltEBKvdh6lSjtaaC-4xfA2d4SH")</f>
        <v/>
      </c>
      <c r="B748" s="9" t="s">
        <v>663</v>
      </c>
      <c r="C748" s="8"/>
      <c r="D748" s="8"/>
      <c r="E748" s="8"/>
      <c r="F748" s="9" t="s">
        <v>445</v>
      </c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12.5" customHeight="1">
      <c r="A749" s="8" t="str">
        <f>IMAGE("https://lh3.googleusercontent.com/u/0/d/1ZJ-PeImKLVAK_LSv9NTs8pIpmULZkxnV")</f>
        <v/>
      </c>
      <c r="B749" s="9" t="s">
        <v>664</v>
      </c>
      <c r="C749" s="8"/>
      <c r="D749" s="8"/>
      <c r="E749" s="8"/>
      <c r="F749" s="9" t="s">
        <v>445</v>
      </c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12.5" customHeight="1">
      <c r="A750" s="8" t="str">
        <f>IMAGE("https://lh3.googleusercontent.com/u/0/d/1KzSqJfBxsHGANvitawn2q1DBlH9ZNM_R")</f>
        <v/>
      </c>
      <c r="B750" s="9" t="s">
        <v>665</v>
      </c>
      <c r="C750" s="8"/>
      <c r="D750" s="8"/>
      <c r="E750" s="8"/>
      <c r="F750" s="9" t="s">
        <v>445</v>
      </c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12.5" customHeight="1">
      <c r="A751" s="8" t="str">
        <f>IMAGE("https://lh3.googleusercontent.com/u/0/d/1m6vnDkhLWJy2cUsFvqnMPsw3iW1nIj-q")</f>
        <v/>
      </c>
      <c r="B751" s="9" t="s">
        <v>666</v>
      </c>
      <c r="C751" s="8"/>
      <c r="D751" s="8"/>
      <c r="E751" s="8"/>
      <c r="F751" s="9" t="s">
        <v>445</v>
      </c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12.5" customHeight="1">
      <c r="A752" s="8" t="str">
        <f>IMAGE("https://lh3.googleusercontent.com/u/0/d/1_OBLVbHstqm6XEJFrqC70iXiu8NOgPQ5")</f>
        <v/>
      </c>
      <c r="B752" s="9" t="s">
        <v>667</v>
      </c>
      <c r="C752" s="8"/>
      <c r="D752" s="8"/>
      <c r="E752" s="8"/>
      <c r="F752" s="9" t="s">
        <v>445</v>
      </c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12.5" customHeight="1">
      <c r="A753" s="8" t="str">
        <f>IMAGE("https://lh3.googleusercontent.com/u/0/d/1iH5_MdfquQ8Bx0uLPF3y-BbZVWGEe2df")</f>
        <v/>
      </c>
      <c r="B753" s="9" t="s">
        <v>668</v>
      </c>
      <c r="C753" s="8"/>
      <c r="D753" s="8"/>
      <c r="E753" s="8"/>
      <c r="F753" s="9" t="s">
        <v>445</v>
      </c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12.5" customHeight="1">
      <c r="A754" s="8" t="str">
        <f>IMAGE("https://lh3.googleusercontent.com/u/0/d/1QflPkDwbpiuKD3IeA12FE1JynpFUeVow")</f>
        <v/>
      </c>
      <c r="B754" s="9" t="s">
        <v>669</v>
      </c>
      <c r="C754" s="8"/>
      <c r="D754" s="8"/>
      <c r="E754" s="8"/>
      <c r="F754" s="9" t="s">
        <v>445</v>
      </c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12.5" customHeight="1">
      <c r="A755" s="8" t="str">
        <f>IMAGE("https://lh3.googleusercontent.com/u/0/d/1dPiBgvM0Z3BcYBvigYMPx54w0KfXbqn4")</f>
        <v/>
      </c>
      <c r="B755" s="9" t="s">
        <v>670</v>
      </c>
      <c r="C755" s="8"/>
      <c r="D755" s="8"/>
      <c r="E755" s="8"/>
      <c r="F755" s="9" t="s">
        <v>445</v>
      </c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12.5" customHeight="1">
      <c r="A756" s="8" t="str">
        <f>IMAGE("https://lh3.googleusercontent.com/u/0/d/1TLfWXmSoUoCHkUPbwLM161092__-ueCB")</f>
        <v/>
      </c>
      <c r="B756" s="9" t="s">
        <v>671</v>
      </c>
      <c r="C756" s="8"/>
      <c r="D756" s="8"/>
      <c r="E756" s="8"/>
      <c r="F756" s="9" t="s">
        <v>445</v>
      </c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12.5" customHeight="1">
      <c r="A757" s="8" t="str">
        <f>IMAGE("https://lh3.googleusercontent.com/u/0/d/1eIPQUl95kyhFb_3kikovLwA3o-BCqTJQ")</f>
        <v/>
      </c>
      <c r="B757" s="9" t="s">
        <v>672</v>
      </c>
      <c r="C757" s="8"/>
      <c r="D757" s="8"/>
      <c r="E757" s="8"/>
      <c r="F757" s="9" t="s">
        <v>445</v>
      </c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12.5" customHeight="1">
      <c r="A758" s="8" t="str">
        <f>IMAGE("https://lh3.googleusercontent.com/u/0/d/1-3jVPE0gvrVSNqOvjYXge-6T1huTP43q")</f>
        <v/>
      </c>
      <c r="B758" s="9" t="s">
        <v>673</v>
      </c>
      <c r="C758" s="8"/>
      <c r="D758" s="8"/>
      <c r="E758" s="8"/>
      <c r="F758" s="9" t="s">
        <v>445</v>
      </c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12.5" customHeight="1">
      <c r="A759" s="8" t="str">
        <f>IMAGE("https://lh3.googleusercontent.com/u/0/d/1sCXkNJtb7CpCCPMW0Fa9mm0EK7kYTvVD")</f>
        <v/>
      </c>
      <c r="B759" s="9" t="s">
        <v>674</v>
      </c>
      <c r="C759" s="8"/>
      <c r="D759" s="8"/>
      <c r="E759" s="8"/>
      <c r="F759" s="9" t="s">
        <v>445</v>
      </c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12.5" customHeight="1">
      <c r="A760" s="8" t="str">
        <f>IMAGE("https://lh3.googleusercontent.com/u/0/d/1qh7ka-GGT5kIJq8ZxYdwExAaE_5nUq2s")</f>
        <v/>
      </c>
      <c r="B760" s="9" t="s">
        <v>675</v>
      </c>
      <c r="C760" s="8"/>
      <c r="D760" s="8"/>
      <c r="E760" s="8"/>
      <c r="F760" s="9" t="s">
        <v>445</v>
      </c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12.5" customHeight="1">
      <c r="A761" s="8" t="str">
        <f>IMAGE("https://lh3.googleusercontent.com/u/0/d/1aGyi-3kB3E-ITPL7ST_kKWlrDsqOTxw4")</f>
        <v/>
      </c>
      <c r="B761" s="9" t="s">
        <v>676</v>
      </c>
      <c r="C761" s="8"/>
      <c r="D761" s="8"/>
      <c r="E761" s="8"/>
      <c r="F761" s="9" t="s">
        <v>445</v>
      </c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12.5" customHeight="1">
      <c r="A762" s="8" t="str">
        <f>IMAGE("https://lh3.googleusercontent.com/u/0/d/1qzbis7WCpz95KleOGGwhbvYg_tklk1gK")</f>
        <v/>
      </c>
      <c r="B762" s="9" t="s">
        <v>677</v>
      </c>
      <c r="C762" s="8"/>
      <c r="D762" s="8"/>
      <c r="E762" s="8"/>
      <c r="F762" s="9" t="s">
        <v>445</v>
      </c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12.5" customHeight="1">
      <c r="A763" s="8" t="str">
        <f>IMAGE("https://lh3.googleusercontent.com/u/0/d/1AW_dr_ClGoGN4b0TgCMRz0CVndGGpDSH")</f>
        <v/>
      </c>
      <c r="B763" s="9" t="s">
        <v>678</v>
      </c>
      <c r="C763" s="8"/>
      <c r="D763" s="8"/>
      <c r="E763" s="8"/>
      <c r="F763" s="9" t="s">
        <v>445</v>
      </c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12.5" customHeight="1">
      <c r="A764" s="8" t="str">
        <f>IMAGE("https://lh3.googleusercontent.com/u/0/d/1warK2RJpbcweisC5X3F-dVrRHzfdlTjb")</f>
        <v/>
      </c>
      <c r="B764" s="9" t="s">
        <v>679</v>
      </c>
      <c r="C764" s="8"/>
      <c r="D764" s="8"/>
      <c r="E764" s="8"/>
      <c r="F764" s="9" t="s">
        <v>445</v>
      </c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12.5" customHeight="1">
      <c r="A765" s="8" t="str">
        <f>IMAGE("https://lh3.googleusercontent.com/u/0/d/15I_i0fh8KQbXBiudHG5B0Eq1wCi2ACov")</f>
        <v/>
      </c>
      <c r="B765" s="9" t="s">
        <v>680</v>
      </c>
      <c r="C765" s="8"/>
      <c r="D765" s="8"/>
      <c r="E765" s="8"/>
      <c r="F765" s="9" t="s">
        <v>445</v>
      </c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12.5" customHeight="1">
      <c r="A766" s="8" t="str">
        <f>IMAGE("https://lh3.googleusercontent.com/u/0/d/1YqyLyoROPl2J8e6k0CBsepC4MrmJ3EHq")</f>
        <v/>
      </c>
      <c r="B766" s="9" t="s">
        <v>681</v>
      </c>
      <c r="C766" s="8"/>
      <c r="D766" s="8"/>
      <c r="E766" s="8"/>
      <c r="F766" s="9" t="s">
        <v>445</v>
      </c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12.5" customHeight="1">
      <c r="A767" s="8" t="str">
        <f>IMAGE("https://lh3.googleusercontent.com/u/0/d/19I84DtI1x3XO6MdQlCxa815KF7XitBGH")</f>
        <v/>
      </c>
      <c r="B767" s="9" t="s">
        <v>682</v>
      </c>
      <c r="C767" s="8"/>
      <c r="D767" s="8"/>
      <c r="E767" s="8"/>
      <c r="F767" s="9" t="s">
        <v>445</v>
      </c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12.5" customHeight="1">
      <c r="A768" s="8" t="str">
        <f>IMAGE("https://lh3.googleusercontent.com/u/0/d/1ZcAiJ4eF_mjBPxivBqfSPRXdWLbT209m")</f>
        <v/>
      </c>
      <c r="B768" s="9" t="s">
        <v>683</v>
      </c>
      <c r="C768" s="8"/>
      <c r="D768" s="8"/>
      <c r="E768" s="8"/>
      <c r="F768" s="9" t="s">
        <v>445</v>
      </c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12.5" customHeight="1">
      <c r="A769" s="8" t="str">
        <f>IMAGE("https://lh3.googleusercontent.com/u/0/d/1KcZR7a2e0OGccecz3wjGwi_WPFeuyUWh")</f>
        <v/>
      </c>
      <c r="B769" s="9" t="s">
        <v>684</v>
      </c>
      <c r="C769" s="8"/>
      <c r="D769" s="8"/>
      <c r="E769" s="8"/>
      <c r="F769" s="9" t="s">
        <v>445</v>
      </c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12.5" customHeight="1">
      <c r="A770" s="8" t="str">
        <f>IMAGE("https://lh3.googleusercontent.com/u/0/d/1sS9qFxwW9DDA46lu4Gwxhw5_-6cbipAZ")</f>
        <v/>
      </c>
      <c r="B770" s="9" t="s">
        <v>685</v>
      </c>
      <c r="C770" s="8"/>
      <c r="D770" s="8"/>
      <c r="E770" s="8"/>
      <c r="F770" s="9" t="s">
        <v>445</v>
      </c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12.5" customHeight="1">
      <c r="A771" s="8" t="str">
        <f>IMAGE("https://lh3.googleusercontent.com/u/0/d/11dmQVOoVOJeQwPmNy7ymCa5t10Td0Cxu")</f>
        <v/>
      </c>
      <c r="B771" s="9" t="s">
        <v>686</v>
      </c>
      <c r="C771" s="8"/>
      <c r="D771" s="8"/>
      <c r="E771" s="8"/>
      <c r="F771" s="9" t="s">
        <v>445</v>
      </c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12.5" customHeight="1">
      <c r="A772" s="8" t="str">
        <f>IMAGE("https://lh3.googleusercontent.com/u/0/d/1WsVBTJfRGujEvFYOwGCGfFSGjR00HGuQ")</f>
        <v/>
      </c>
      <c r="B772" s="9" t="s">
        <v>687</v>
      </c>
      <c r="C772" s="8"/>
      <c r="D772" s="8"/>
      <c r="E772" s="8"/>
      <c r="F772" s="9" t="s">
        <v>445</v>
      </c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12.5" customHeight="1">
      <c r="A773" s="8" t="str">
        <f>IMAGE("https://lh3.googleusercontent.com/u/0/d/1oIxxj2r7lo6FHwFaQo7W3a6bMICsuW37")</f>
        <v/>
      </c>
      <c r="B773" s="9" t="s">
        <v>688</v>
      </c>
      <c r="C773" s="8"/>
      <c r="D773" s="8"/>
      <c r="E773" s="8"/>
      <c r="F773" s="9" t="s">
        <v>445</v>
      </c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12.5" customHeight="1">
      <c r="A774" s="8" t="str">
        <f>IMAGE("https://lh3.googleusercontent.com/u/0/d/131Ow17e4iHclmsPW1aBMswk_ZhWwbcYV")</f>
        <v/>
      </c>
      <c r="B774" s="9" t="s">
        <v>689</v>
      </c>
      <c r="C774" s="8"/>
      <c r="D774" s="8"/>
      <c r="E774" s="8"/>
      <c r="F774" s="9" t="s">
        <v>445</v>
      </c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12.5" customHeight="1">
      <c r="A775" s="8" t="str">
        <f>IMAGE("https://lh3.googleusercontent.com/u/0/d/1IBLofD_zMW7T2fsOv4OKY38-WGbJCFCw")</f>
        <v/>
      </c>
      <c r="B775" s="9" t="s">
        <v>690</v>
      </c>
      <c r="C775" s="8"/>
      <c r="D775" s="8"/>
      <c r="E775" s="8"/>
      <c r="F775" s="9" t="s">
        <v>445</v>
      </c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12.5" customHeight="1">
      <c r="A776" s="8" t="str">
        <f>IMAGE("https://lh3.googleusercontent.com/u/0/d/1ivDmnbP5aUHt8v-BM23567OCUvUejdjx")</f>
        <v/>
      </c>
      <c r="B776" s="9" t="s">
        <v>691</v>
      </c>
      <c r="C776" s="8"/>
      <c r="D776" s="8"/>
      <c r="E776" s="8"/>
      <c r="F776" s="9" t="s">
        <v>445</v>
      </c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12.5" customHeight="1">
      <c r="A777" s="8" t="str">
        <f>IMAGE("https://lh3.googleusercontent.com/u/0/d/1ZQVZ0IAGqONSa1lCYV3T9ZWBqsfIWG-N")</f>
        <v/>
      </c>
      <c r="B777" s="9" t="s">
        <v>692</v>
      </c>
      <c r="C777" s="8"/>
      <c r="D777" s="8"/>
      <c r="E777" s="8"/>
      <c r="F777" s="9" t="s">
        <v>445</v>
      </c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12.5" customHeight="1">
      <c r="A778" s="8" t="str">
        <f>IMAGE("https://lh3.googleusercontent.com/u/0/d/1MI7RqOtqazpZAFGFrQGTT11G-gOmJtM_")</f>
        <v/>
      </c>
      <c r="B778" s="9" t="s">
        <v>693</v>
      </c>
      <c r="C778" s="8"/>
      <c r="D778" s="8"/>
      <c r="E778" s="8"/>
      <c r="F778" s="9" t="s">
        <v>445</v>
      </c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12.5" customHeight="1">
      <c r="A779" s="8" t="str">
        <f>IMAGE("https://lh3.googleusercontent.com/u/0/d/1_1eomtPFvouL5A02Xesx2g4TtgJ7n9kr")</f>
        <v/>
      </c>
      <c r="B779" s="9" t="s">
        <v>694</v>
      </c>
      <c r="C779" s="8"/>
      <c r="D779" s="8"/>
      <c r="E779" s="8"/>
      <c r="F779" s="9" t="s">
        <v>445</v>
      </c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12.5" customHeight="1">
      <c r="A780" s="8" t="str">
        <f>IMAGE("https://lh3.googleusercontent.com/u/0/d/13bH-ESuTYH_vNofMG6as2r9MXhiGTWL2")</f>
        <v/>
      </c>
      <c r="B780" s="9" t="s">
        <v>695</v>
      </c>
      <c r="C780" s="8"/>
      <c r="D780" s="8"/>
      <c r="E780" s="8"/>
      <c r="F780" s="9" t="s">
        <v>445</v>
      </c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12.5" customHeight="1">
      <c r="A781" s="8" t="str">
        <f>IMAGE("https://lh3.googleusercontent.com/u/0/d/1pFRMNkiy1VF6a2_kFed4zCcBFYid3P4d")</f>
        <v/>
      </c>
      <c r="B781" s="9" t="s">
        <v>696</v>
      </c>
      <c r="C781" s="8"/>
      <c r="D781" s="8"/>
      <c r="E781" s="8"/>
      <c r="F781" s="9" t="s">
        <v>445</v>
      </c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12.5" customHeight="1">
      <c r="A782" s="8" t="str">
        <f>IMAGE("https://lh3.googleusercontent.com/u/0/d/1nKmCXgbDiP68QxQTbewk0-m8A8X1Q1SO")</f>
        <v/>
      </c>
      <c r="B782" s="9" t="s">
        <v>697</v>
      </c>
      <c r="C782" s="8"/>
      <c r="D782" s="8"/>
      <c r="E782" s="8"/>
      <c r="F782" s="9" t="s">
        <v>445</v>
      </c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12.5" customHeight="1">
      <c r="A783" s="8" t="str">
        <f>IMAGE("https://lh3.googleusercontent.com/u/0/d/1-dmdi_Avi4_h5OIu0GUotu2bm3sSVwFO")</f>
        <v/>
      </c>
      <c r="B783" s="9" t="s">
        <v>698</v>
      </c>
      <c r="C783" s="8"/>
      <c r="D783" s="8"/>
      <c r="E783" s="8"/>
      <c r="F783" s="9" t="s">
        <v>445</v>
      </c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12.5" customHeight="1">
      <c r="A784" s="8" t="str">
        <f>IMAGE("https://lh3.googleusercontent.com/u/0/d/1AEZdiU9qjlYc1NqQyyC5_2ikFt3uHLcu")</f>
        <v/>
      </c>
      <c r="B784" s="9" t="s">
        <v>699</v>
      </c>
      <c r="C784" s="8"/>
      <c r="D784" s="8"/>
      <c r="E784" s="8"/>
      <c r="F784" s="9" t="s">
        <v>445</v>
      </c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12.5" customHeight="1">
      <c r="A785" s="8" t="str">
        <f>IMAGE("https://lh3.googleusercontent.com/u/0/d/1gqjgay1cLc_1TYEPD6uAt6dwNiPgVjm2")</f>
        <v/>
      </c>
      <c r="B785" s="9" t="s">
        <v>700</v>
      </c>
      <c r="C785" s="8"/>
      <c r="D785" s="8"/>
      <c r="E785" s="8"/>
      <c r="F785" s="9" t="s">
        <v>445</v>
      </c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12.5" customHeight="1">
      <c r="A786" s="8" t="str">
        <f>IMAGE("https://lh3.googleusercontent.com/u/0/d/1VB0YgGd3V2VedGQ7o-RCThK8ibg6LAJH")</f>
        <v/>
      </c>
      <c r="B786" s="9" t="s">
        <v>701</v>
      </c>
      <c r="C786" s="8"/>
      <c r="D786" s="8"/>
      <c r="E786" s="8"/>
      <c r="F786" s="9" t="s">
        <v>445</v>
      </c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12.5" customHeight="1">
      <c r="A787" s="8" t="str">
        <f>IMAGE("https://lh3.googleusercontent.com/u/0/d/1GKKxaSu6Qz3V2mBlGSD3w4sHIMKmeLLx")</f>
        <v/>
      </c>
      <c r="B787" s="9" t="s">
        <v>702</v>
      </c>
      <c r="C787" s="8"/>
      <c r="D787" s="8"/>
      <c r="E787" s="8"/>
      <c r="F787" s="9" t="s">
        <v>445</v>
      </c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12.5" customHeight="1">
      <c r="A788" s="8" t="str">
        <f>IMAGE("https://lh3.googleusercontent.com/u/0/d/1ykUxgEuO_4LqaG8_ODCY7lR2u9dksYUy")</f>
        <v/>
      </c>
      <c r="B788" s="9" t="s">
        <v>703</v>
      </c>
      <c r="C788" s="8"/>
      <c r="D788" s="8"/>
      <c r="E788" s="8"/>
      <c r="F788" s="9" t="s">
        <v>445</v>
      </c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12.5" customHeight="1">
      <c r="A789" s="8" t="str">
        <f>IMAGE("https://lh3.googleusercontent.com/u/0/d/1O3Eb8ckaroUuTKAXdFeOMst1mRAckulo")</f>
        <v/>
      </c>
      <c r="B789" s="9" t="s">
        <v>704</v>
      </c>
      <c r="C789" s="8"/>
      <c r="D789" s="8"/>
      <c r="E789" s="8"/>
      <c r="F789" s="9" t="s">
        <v>445</v>
      </c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12.5" customHeight="1">
      <c r="A790" s="8" t="str">
        <f>IMAGE("https://lh3.googleusercontent.com/u/0/d/14J8N_KVbWssFxBULql40CCP9-RxwIfxZ")</f>
        <v/>
      </c>
      <c r="B790" s="9" t="s">
        <v>705</v>
      </c>
      <c r="C790" s="8"/>
      <c r="D790" s="8"/>
      <c r="E790" s="8"/>
      <c r="F790" s="9" t="s">
        <v>445</v>
      </c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12.5" customHeight="1">
      <c r="A791" s="8" t="str">
        <f>IMAGE("https://lh3.googleusercontent.com/u/0/d/143iNtvmrxRm1YKflX1Age3tj-9x0IVaa")</f>
        <v/>
      </c>
      <c r="B791" s="9" t="s">
        <v>706</v>
      </c>
      <c r="C791" s="8"/>
      <c r="D791" s="8"/>
      <c r="E791" s="8"/>
      <c r="F791" s="9" t="s">
        <v>445</v>
      </c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12.5" customHeight="1">
      <c r="A792" s="8" t="str">
        <f>IMAGE("https://lh3.googleusercontent.com/u/0/d/1hLAny8SlVdaHyzZHStBt1-2XlkqbSloc")</f>
        <v/>
      </c>
      <c r="B792" s="9" t="s">
        <v>707</v>
      </c>
      <c r="C792" s="8"/>
      <c r="D792" s="8"/>
      <c r="E792" s="8"/>
      <c r="F792" s="9" t="s">
        <v>445</v>
      </c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12.5" customHeight="1">
      <c r="A793" s="8" t="str">
        <f>IMAGE("https://lh3.googleusercontent.com/u/0/d/1Rmd7hX-QI1tVKTbFxKxEl28m9qsJiAJa")</f>
        <v/>
      </c>
      <c r="B793" s="9" t="s">
        <v>708</v>
      </c>
      <c r="C793" s="8"/>
      <c r="D793" s="8"/>
      <c r="E793" s="8"/>
      <c r="F793" s="9" t="s">
        <v>445</v>
      </c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12.5" customHeight="1">
      <c r="A794" s="8" t="str">
        <f>IMAGE("https://lh3.googleusercontent.com/u/0/d/1RHUyBymnlKgybFxlfScDG1C_hMyCJq8r")</f>
        <v/>
      </c>
      <c r="B794" s="9" t="s">
        <v>709</v>
      </c>
      <c r="C794" s="8"/>
      <c r="D794" s="8"/>
      <c r="E794" s="8"/>
      <c r="F794" s="9" t="s">
        <v>445</v>
      </c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12.5" customHeight="1">
      <c r="A795" s="8" t="str">
        <f>IMAGE("https://lh3.googleusercontent.com/u/0/d/1ISvWYKxO5QqTcs6szN3hWLVLGh7qq1wb")</f>
        <v/>
      </c>
      <c r="B795" s="9" t="s">
        <v>710</v>
      </c>
      <c r="C795" s="8"/>
      <c r="D795" s="8"/>
      <c r="E795" s="8"/>
      <c r="F795" s="9" t="s">
        <v>445</v>
      </c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12.5" customHeight="1">
      <c r="A796" s="8" t="str">
        <f>IMAGE("https://lh3.googleusercontent.com/u/0/d/1jiFD8DUsUcEDVvQsPCTCFeGpysxALwjq")</f>
        <v/>
      </c>
      <c r="B796" s="9" t="s">
        <v>711</v>
      </c>
      <c r="C796" s="8"/>
      <c r="D796" s="8"/>
      <c r="E796" s="8"/>
      <c r="F796" s="9" t="s">
        <v>445</v>
      </c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12.5" customHeight="1">
      <c r="A797" s="8" t="str">
        <f>IMAGE("https://lh3.googleusercontent.com/u/0/d/1qi_I-dXyHGwb1E5n_8mTaokDV7JAQKT4")</f>
        <v/>
      </c>
      <c r="B797" s="9" t="s">
        <v>712</v>
      </c>
      <c r="C797" s="8"/>
      <c r="D797" s="8"/>
      <c r="E797" s="8"/>
      <c r="F797" s="9" t="s">
        <v>445</v>
      </c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12.5" customHeight="1">
      <c r="A798" s="8" t="str">
        <f>IMAGE("https://lh3.googleusercontent.com/u/0/d/1l_GW40TXtdRo-l6gNU3SYZn7XTxOCRvK")</f>
        <v/>
      </c>
      <c r="B798" s="9" t="s">
        <v>713</v>
      </c>
      <c r="C798" s="8"/>
      <c r="D798" s="8"/>
      <c r="E798" s="8"/>
      <c r="F798" s="9" t="s">
        <v>445</v>
      </c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12.5" customHeight="1">
      <c r="A799" s="8" t="str">
        <f>IMAGE("https://lh3.googleusercontent.com/u/0/d/1_UxBqeuftJx4Os01Cnfxa6D8WLA4qBzR")</f>
        <v/>
      </c>
      <c r="B799" s="9" t="s">
        <v>714</v>
      </c>
      <c r="C799" s="8"/>
      <c r="D799" s="8"/>
      <c r="E799" s="8"/>
      <c r="F799" s="9" t="s">
        <v>445</v>
      </c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12.5" customHeight="1">
      <c r="A800" s="8" t="str">
        <f>IMAGE("https://lh3.googleusercontent.com/u/0/d/1WaZJSJ72vhqUkRCrg3-LKpvbvznyYSZJ")</f>
        <v/>
      </c>
      <c r="B800" s="9" t="s">
        <v>715</v>
      </c>
      <c r="C800" s="8"/>
      <c r="D800" s="8"/>
      <c r="E800" s="8"/>
      <c r="F800" s="9" t="s">
        <v>445</v>
      </c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12.5" customHeight="1">
      <c r="A801" s="8" t="str">
        <f>IMAGE("https://lh3.googleusercontent.com/u/0/d/1DRggl3JLb15d-hK7wtpQKwZqkIAzXbV-")</f>
        <v/>
      </c>
      <c r="B801" s="9" t="s">
        <v>716</v>
      </c>
      <c r="C801" s="8"/>
      <c r="D801" s="8"/>
      <c r="E801" s="8"/>
      <c r="F801" s="9" t="s">
        <v>445</v>
      </c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12.5" customHeight="1">
      <c r="A802" s="8" t="str">
        <f>IMAGE("https://lh3.googleusercontent.com/u/0/d/1R19W5Zn_tzF3kdYSxv_i-2wLorVZEsMx")</f>
        <v/>
      </c>
      <c r="B802" s="9" t="s">
        <v>717</v>
      </c>
      <c r="C802" s="8"/>
      <c r="D802" s="8"/>
      <c r="E802" s="8"/>
      <c r="F802" s="9" t="s">
        <v>445</v>
      </c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12.5" customHeight="1">
      <c r="A803" s="8" t="str">
        <f>IMAGE("https://lh3.googleusercontent.com/u/0/d/1Y8mvcXfuOSC0JXsYotbetD-2BXm7uKsT")</f>
        <v/>
      </c>
      <c r="B803" s="9" t="s">
        <v>718</v>
      </c>
      <c r="C803" s="8"/>
      <c r="D803" s="8"/>
      <c r="E803" s="8"/>
      <c r="F803" s="9" t="s">
        <v>445</v>
      </c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12.5" customHeight="1">
      <c r="A804" s="8" t="str">
        <f>IMAGE("https://lh3.googleusercontent.com/u/0/d/1Ggpv9jfjErNCxQtioT5gKW7fMNyIselH")</f>
        <v/>
      </c>
      <c r="B804" s="9" t="s">
        <v>719</v>
      </c>
      <c r="C804" s="8"/>
      <c r="D804" s="8"/>
      <c r="E804" s="8"/>
      <c r="F804" s="9" t="s">
        <v>445</v>
      </c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12.5" customHeight="1">
      <c r="A805" s="8" t="str">
        <f>IMAGE("https://lh3.googleusercontent.com/u/0/d/1HvGz7mu92wm1yJzg3Ajk_XQ8gf8dXrmR")</f>
        <v/>
      </c>
      <c r="B805" s="9" t="s">
        <v>720</v>
      </c>
      <c r="C805" s="8"/>
      <c r="D805" s="8"/>
      <c r="E805" s="8"/>
      <c r="F805" s="9" t="s">
        <v>445</v>
      </c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12.5" customHeight="1">
      <c r="A806" s="8" t="str">
        <f>IMAGE("https://lh3.googleusercontent.com/u/0/d/1xAC4GqHd848GrJL2D3GMrbBu1MikvHHX")</f>
        <v/>
      </c>
      <c r="B806" s="9" t="s">
        <v>721</v>
      </c>
      <c r="C806" s="8"/>
      <c r="D806" s="8"/>
      <c r="E806" s="8"/>
      <c r="F806" s="9" t="s">
        <v>445</v>
      </c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12.5" customHeight="1">
      <c r="A807" s="8" t="str">
        <f>IMAGE("https://lh3.googleusercontent.com/u/0/d/1WDn7aDJDEfR5tb1_hL0vJU2raiUqO6IS")</f>
        <v/>
      </c>
      <c r="B807" s="9" t="s">
        <v>722</v>
      </c>
      <c r="C807" s="8"/>
      <c r="D807" s="8"/>
      <c r="E807" s="8"/>
      <c r="F807" s="9" t="s">
        <v>445</v>
      </c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12.5" customHeight="1">
      <c r="A808" s="8" t="str">
        <f>IMAGE("https://lh3.googleusercontent.com/u/0/d/1LSFzww146KulbB-ocNt2Bf9SLRqZngAU")</f>
        <v/>
      </c>
      <c r="B808" s="9" t="s">
        <v>723</v>
      </c>
      <c r="C808" s="8"/>
      <c r="D808" s="8"/>
      <c r="E808" s="8"/>
      <c r="F808" s="9" t="s">
        <v>445</v>
      </c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12.5" customHeight="1">
      <c r="A809" s="8" t="str">
        <f>IMAGE("https://lh3.googleusercontent.com/u/0/d/1aFOjfsmcA-__-HljkIq8nBKJ4E1R813s")</f>
        <v/>
      </c>
      <c r="B809" s="9" t="s">
        <v>724</v>
      </c>
      <c r="C809" s="8"/>
      <c r="D809" s="8"/>
      <c r="E809" s="8"/>
      <c r="F809" s="9" t="s">
        <v>445</v>
      </c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12.5" customHeight="1">
      <c r="A810" s="8" t="str">
        <f>IMAGE("https://lh3.googleusercontent.com/u/0/d/1siyTlzA-OEFelnuB_G6-ohHbZsiM2QsC")</f>
        <v/>
      </c>
      <c r="B810" s="9" t="s">
        <v>725</v>
      </c>
      <c r="C810" s="8"/>
      <c r="D810" s="8"/>
      <c r="E810" s="8"/>
      <c r="F810" s="9" t="s">
        <v>445</v>
      </c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12.5" customHeight="1">
      <c r="A811" s="8" t="str">
        <f>IMAGE("https://lh3.googleusercontent.com/u/0/d/1y0tzGd2DdKbMHp5FnH53IkotXR0rehRz")</f>
        <v/>
      </c>
      <c r="B811" s="9" t="s">
        <v>726</v>
      </c>
      <c r="C811" s="8"/>
      <c r="D811" s="8"/>
      <c r="E811" s="8"/>
      <c r="F811" s="9" t="s">
        <v>445</v>
      </c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12.5" customHeight="1">
      <c r="A812" s="8" t="str">
        <f>IMAGE("https://lh3.googleusercontent.com/u/0/d/17HXZjOj_6xQE0k5Rue4WEoKrxy8wTFP6")</f>
        <v/>
      </c>
      <c r="B812" s="9" t="s">
        <v>727</v>
      </c>
      <c r="C812" s="8"/>
      <c r="D812" s="8"/>
      <c r="E812" s="8"/>
      <c r="F812" s="9" t="s">
        <v>445</v>
      </c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12.5" customHeight="1">
      <c r="A813" s="8" t="str">
        <f>IMAGE("https://lh3.googleusercontent.com/u/0/d/1B1uQm_5HnAgU3XZewhvMbftb1BTd0OIE")</f>
        <v/>
      </c>
      <c r="B813" s="9" t="s">
        <v>728</v>
      </c>
      <c r="C813" s="8"/>
      <c r="D813" s="8"/>
      <c r="E813" s="8"/>
      <c r="F813" s="9" t="s">
        <v>445</v>
      </c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12.5" customHeight="1">
      <c r="A814" s="8" t="str">
        <f>IMAGE("https://lh3.googleusercontent.com/u/0/d/1Usea9Y2IuaIwEXTTrAqAsKE66HDuB1ha")</f>
        <v/>
      </c>
      <c r="B814" s="9" t="s">
        <v>729</v>
      </c>
      <c r="C814" s="8"/>
      <c r="D814" s="8"/>
      <c r="E814" s="8"/>
      <c r="F814" s="9" t="s">
        <v>445</v>
      </c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12.5" customHeight="1">
      <c r="A815" s="8" t="str">
        <f>IMAGE("https://lh3.googleusercontent.com/u/0/d/1y1tO723ybdXzJpcEwloIZg99nQ9tNU0X")</f>
        <v/>
      </c>
      <c r="B815" s="9" t="s">
        <v>730</v>
      </c>
      <c r="C815" s="8"/>
      <c r="D815" s="8"/>
      <c r="E815" s="8"/>
      <c r="F815" s="9" t="s">
        <v>445</v>
      </c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12.5" customHeight="1">
      <c r="A816" s="8" t="str">
        <f>IMAGE("https://lh3.googleusercontent.com/u/0/d/1ay5QTJu3r0rQ0w4sjN5UBMlazRma6UST")</f>
        <v/>
      </c>
      <c r="B816" s="9" t="s">
        <v>731</v>
      </c>
      <c r="C816" s="8"/>
      <c r="D816" s="8"/>
      <c r="E816" s="8"/>
      <c r="F816" s="9" t="s">
        <v>445</v>
      </c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12.5" customHeight="1">
      <c r="A817" s="8" t="str">
        <f>IMAGE("https://lh3.googleusercontent.com/u/0/d/19JrPuhN6lw7A7ujXOpvCy4T1oxrGaCNF")</f>
        <v/>
      </c>
      <c r="B817" s="9" t="s">
        <v>732</v>
      </c>
      <c r="C817" s="8"/>
      <c r="D817" s="8"/>
      <c r="E817" s="8"/>
      <c r="F817" s="9" t="s">
        <v>445</v>
      </c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12.5" customHeight="1">
      <c r="A818" s="8" t="str">
        <f>IMAGE("https://lh3.googleusercontent.com/u/0/d/1Jb5sSUBeFvzpQtK_p62KFYmOPLmreUuI")</f>
        <v/>
      </c>
      <c r="B818" s="9" t="s">
        <v>733</v>
      </c>
      <c r="C818" s="8"/>
      <c r="D818" s="8"/>
      <c r="E818" s="8"/>
      <c r="F818" s="9" t="s">
        <v>445</v>
      </c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12.5" customHeight="1">
      <c r="A819" s="8" t="str">
        <f>IMAGE("https://lh3.googleusercontent.com/u/0/d/1469SoxtwBEgeuEmLopPvBJa1Ss41tuv9")</f>
        <v/>
      </c>
      <c r="B819" s="9" t="s">
        <v>734</v>
      </c>
      <c r="C819" s="8"/>
      <c r="D819" s="8"/>
      <c r="E819" s="8"/>
      <c r="F819" s="9" t="s">
        <v>445</v>
      </c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12.5" customHeight="1">
      <c r="A820" s="8" t="str">
        <f>IMAGE("https://lh3.googleusercontent.com/u/0/d/1GTuBoaSRm525phUSTW2oslJO6IvtaD7D")</f>
        <v/>
      </c>
      <c r="B820" s="9" t="s">
        <v>735</v>
      </c>
      <c r="C820" s="8"/>
      <c r="D820" s="8"/>
      <c r="E820" s="8"/>
      <c r="F820" s="9" t="s">
        <v>445</v>
      </c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12.5" customHeight="1">
      <c r="A821" s="8" t="str">
        <f>IMAGE("https://lh3.googleusercontent.com/u/0/d/1WioKurVSqsJCmkKUBy1WO74JRUb5LLDV")</f>
        <v/>
      </c>
      <c r="B821" s="9" t="s">
        <v>736</v>
      </c>
      <c r="C821" s="8"/>
      <c r="D821" s="8"/>
      <c r="E821" s="8"/>
      <c r="F821" s="9" t="s">
        <v>445</v>
      </c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12.5" customHeight="1">
      <c r="A822" s="8" t="str">
        <f>IMAGE("https://lh3.googleusercontent.com/u/0/d/1RR1lVDsuwmf5Ig9RIxf_KFjyKD83mgaa")</f>
        <v/>
      </c>
      <c r="B822" s="9" t="s">
        <v>737</v>
      </c>
      <c r="C822" s="8"/>
      <c r="D822" s="8"/>
      <c r="E822" s="8"/>
      <c r="F822" s="9" t="s">
        <v>445</v>
      </c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12.5" customHeight="1">
      <c r="A823" s="8" t="str">
        <f>IMAGE("https://lh3.googleusercontent.com/u/0/d/1Hy0O-SQozs7-IsZ-yHo8LNmq8JqX6Ren")</f>
        <v/>
      </c>
      <c r="B823" s="9" t="s">
        <v>738</v>
      </c>
      <c r="C823" s="8"/>
      <c r="D823" s="8"/>
      <c r="E823" s="8"/>
      <c r="F823" s="9" t="s">
        <v>445</v>
      </c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12.5" customHeight="1">
      <c r="A824" s="8" t="str">
        <f>IMAGE("https://lh3.googleusercontent.com/u/0/d/1QsX6RiE_BRHVaaSNqiXhpv4vVaVB2MD_")</f>
        <v/>
      </c>
      <c r="B824" s="9" t="s">
        <v>739</v>
      </c>
      <c r="C824" s="8"/>
      <c r="D824" s="8"/>
      <c r="E824" s="8"/>
      <c r="F824" s="9" t="s">
        <v>445</v>
      </c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12.5" customHeight="1">
      <c r="A825" s="8" t="str">
        <f>IMAGE("https://lh3.googleusercontent.com/u/0/d/1QvcBfJ_wrBYJT1N__lXcuIlYp9-yTTRy")</f>
        <v/>
      </c>
      <c r="B825" s="9" t="s">
        <v>740</v>
      </c>
      <c r="C825" s="8"/>
      <c r="D825" s="8"/>
      <c r="E825" s="8"/>
      <c r="F825" s="9" t="s">
        <v>445</v>
      </c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12.5" customHeight="1">
      <c r="A826" s="8" t="str">
        <f>IMAGE("https://lh3.googleusercontent.com/u/0/d/1QiR5PMTQgwuRxhdpJ_0OBJ8wpV2YOUdM")</f>
        <v/>
      </c>
      <c r="B826" s="9" t="s">
        <v>741</v>
      </c>
      <c r="C826" s="8"/>
      <c r="D826" s="8"/>
      <c r="E826" s="8"/>
      <c r="F826" s="9" t="s">
        <v>445</v>
      </c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12.5" customHeight="1">
      <c r="A827" s="8" t="str">
        <f>IMAGE("https://lh3.googleusercontent.com/u/0/d/1IUY4fHQ5s1XvtssRIF7XsRdAcDgo3GVG")</f>
        <v/>
      </c>
      <c r="B827" s="9" t="s">
        <v>742</v>
      </c>
      <c r="C827" s="8"/>
      <c r="D827" s="8"/>
      <c r="E827" s="8"/>
      <c r="F827" s="9" t="s">
        <v>445</v>
      </c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12.5" customHeight="1">
      <c r="A828" s="8" t="str">
        <f>IMAGE("https://lh3.googleusercontent.com/u/0/d/1if8aY7yCAh_ekISPL1wOSjQdvv_om38W")</f>
        <v/>
      </c>
      <c r="B828" s="9" t="s">
        <v>743</v>
      </c>
      <c r="C828" s="8"/>
      <c r="D828" s="8"/>
      <c r="E828" s="8"/>
      <c r="F828" s="9" t="s">
        <v>445</v>
      </c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12.5" customHeight="1">
      <c r="A829" s="8" t="str">
        <f>IMAGE("https://lh3.googleusercontent.com/u/0/d/1CVnbaTavkF4gjnBQdou-NZK5BN15g2z9")</f>
        <v/>
      </c>
      <c r="B829" s="9" t="s">
        <v>744</v>
      </c>
      <c r="C829" s="8"/>
      <c r="D829" s="8"/>
      <c r="E829" s="8"/>
      <c r="F829" s="9" t="s">
        <v>445</v>
      </c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12.5" customHeight="1">
      <c r="A830" s="8" t="str">
        <f>IMAGE("https://lh3.googleusercontent.com/u/0/d/1qcKI8nSN7tVFm8U1takD0ePtRq6m_nPY")</f>
        <v/>
      </c>
      <c r="B830" s="9" t="s">
        <v>745</v>
      </c>
      <c r="C830" s="8"/>
      <c r="D830" s="8"/>
      <c r="E830" s="8"/>
      <c r="F830" s="9" t="s">
        <v>445</v>
      </c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12.5" customHeight="1">
      <c r="A831" s="8" t="str">
        <f>IMAGE("https://lh3.googleusercontent.com/u/0/d/1Jgy7wESPFwIdCCECQjezsDkkC32j_1Bn")</f>
        <v/>
      </c>
      <c r="B831" s="9" t="s">
        <v>746</v>
      </c>
      <c r="C831" s="8"/>
      <c r="D831" s="8"/>
      <c r="E831" s="8"/>
      <c r="F831" s="9" t="s">
        <v>445</v>
      </c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12.5" customHeight="1">
      <c r="A832" s="8" t="str">
        <f>IMAGE("https://lh3.googleusercontent.com/u/0/d/1Em7PFzTP8Sb6eGB-gVCUVMGkJSlA8KlT")</f>
        <v/>
      </c>
      <c r="B832" s="9" t="s">
        <v>747</v>
      </c>
      <c r="C832" s="8"/>
      <c r="D832" s="8"/>
      <c r="E832" s="8"/>
      <c r="F832" s="9" t="s">
        <v>445</v>
      </c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12.5" customHeight="1">
      <c r="A833" s="8" t="str">
        <f>IMAGE("https://lh3.googleusercontent.com/u/0/d/1oYAm01bMggDnDqwz4amHn0JCBzFgK0D6")</f>
        <v/>
      </c>
      <c r="B833" s="9" t="s">
        <v>748</v>
      </c>
      <c r="C833" s="8"/>
      <c r="D833" s="8"/>
      <c r="E833" s="8"/>
      <c r="F833" s="9" t="s">
        <v>445</v>
      </c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12.5" customHeight="1">
      <c r="A834" s="8" t="str">
        <f>IMAGE("https://lh3.googleusercontent.com/u/0/d/1mT0F9IQTOWjOHx82HcFkPbhhoqGxbxSY")</f>
        <v/>
      </c>
      <c r="B834" s="9" t="s">
        <v>749</v>
      </c>
      <c r="C834" s="8"/>
      <c r="D834" s="8"/>
      <c r="E834" s="8"/>
      <c r="F834" s="9" t="s">
        <v>445</v>
      </c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12.5" customHeight="1">
      <c r="A835" s="8" t="str">
        <f>IMAGE("https://lh3.googleusercontent.com/u/0/d/1fsgOq8TzzaJYR_Ur8GH6rH8HBX7rW4_r")</f>
        <v/>
      </c>
      <c r="B835" s="9" t="s">
        <v>750</v>
      </c>
      <c r="C835" s="8"/>
      <c r="D835" s="8"/>
      <c r="E835" s="8"/>
      <c r="F835" s="9" t="s">
        <v>445</v>
      </c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12.5" customHeight="1">
      <c r="A836" s="8" t="str">
        <f>IMAGE("https://lh3.googleusercontent.com/u/0/d/1IdFMzprQB7PRb-qUqLEUXqu5ijv6jeVn")</f>
        <v/>
      </c>
      <c r="B836" s="9" t="s">
        <v>751</v>
      </c>
      <c r="C836" s="8"/>
      <c r="D836" s="8"/>
      <c r="E836" s="8"/>
      <c r="F836" s="9" t="s">
        <v>445</v>
      </c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12.5" customHeight="1">
      <c r="A837" s="8" t="str">
        <f>IMAGE("https://lh3.googleusercontent.com/u/0/d/1o7ROt4MQW0xd6Fp_OkAviODej8YB-tAW")</f>
        <v/>
      </c>
      <c r="B837" s="9" t="s">
        <v>752</v>
      </c>
      <c r="C837" s="8"/>
      <c r="D837" s="8"/>
      <c r="E837" s="8"/>
      <c r="F837" s="9" t="s">
        <v>445</v>
      </c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12.5" customHeight="1">
      <c r="A838" s="8" t="str">
        <f>IMAGE("https://lh3.googleusercontent.com/u/0/d/1PNQH1976Nh3SghmX3gx3hZjAe_tBOqo9")</f>
        <v/>
      </c>
      <c r="B838" s="9" t="s">
        <v>753</v>
      </c>
      <c r="C838" s="8"/>
      <c r="D838" s="8"/>
      <c r="E838" s="8"/>
      <c r="F838" s="9" t="s">
        <v>445</v>
      </c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12.5" customHeight="1">
      <c r="A839" s="8" t="str">
        <f>IMAGE("https://lh3.googleusercontent.com/u/0/d/1pU2m9YtA72xqBDg5lRm6O-AHhB6ytRfK")</f>
        <v/>
      </c>
      <c r="B839" s="9" t="s">
        <v>754</v>
      </c>
      <c r="C839" s="8"/>
      <c r="D839" s="8"/>
      <c r="E839" s="8"/>
      <c r="F839" s="9" t="s">
        <v>445</v>
      </c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12.5" customHeight="1">
      <c r="A840" s="8" t="str">
        <f>IMAGE("https://lh3.googleusercontent.com/u/0/d/1bzgUeMgDjeHLoofF7IeGSN3NYGypfyVq")</f>
        <v/>
      </c>
      <c r="B840" s="9" t="s">
        <v>755</v>
      </c>
      <c r="C840" s="8"/>
      <c r="D840" s="8"/>
      <c r="E840" s="8"/>
      <c r="F840" s="9" t="s">
        <v>445</v>
      </c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12.5" customHeight="1">
      <c r="A841" s="8" t="str">
        <f>IMAGE("https://lh3.googleusercontent.com/u/0/d/1VGOKqvAzrPKxfsMl7CpQUsbZVq4gctYK")</f>
        <v/>
      </c>
      <c r="B841" s="9" t="s">
        <v>756</v>
      </c>
      <c r="C841" s="8"/>
      <c r="D841" s="8"/>
      <c r="E841" s="8"/>
      <c r="F841" s="9" t="s">
        <v>445</v>
      </c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12.5" customHeight="1">
      <c r="A842" s="8" t="str">
        <f>IMAGE("https://lh3.googleusercontent.com/u/0/d/1oGRQXMOrTB2M9ijn_71fh6SidnH1M0-E")</f>
        <v/>
      </c>
      <c r="B842" s="9" t="s">
        <v>757</v>
      </c>
      <c r="C842" s="8"/>
      <c r="D842" s="8"/>
      <c r="E842" s="8"/>
      <c r="F842" s="9" t="s">
        <v>445</v>
      </c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12.5" customHeight="1">
      <c r="A843" s="8" t="str">
        <f>IMAGE("https://lh3.googleusercontent.com/u/0/d/1oQI2m2hgDhJMMvJoM5QFFLYY0USPcpvp")</f>
        <v/>
      </c>
      <c r="B843" s="9" t="s">
        <v>758</v>
      </c>
      <c r="C843" s="8"/>
      <c r="D843" s="8"/>
      <c r="E843" s="8"/>
      <c r="F843" s="9" t="s">
        <v>445</v>
      </c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12.5" customHeight="1">
      <c r="A844" s="8" t="str">
        <f>IMAGE("https://lh3.googleusercontent.com/u/0/d/1jSQjb_Wk2civke4zzKpIRTkWx1rb6npR")</f>
        <v/>
      </c>
      <c r="B844" s="9" t="s">
        <v>759</v>
      </c>
      <c r="C844" s="8"/>
      <c r="D844" s="8"/>
      <c r="E844" s="8"/>
      <c r="F844" s="9" t="s">
        <v>445</v>
      </c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12.5" customHeight="1">
      <c r="A845" s="8" t="str">
        <f>IMAGE("https://lh3.googleusercontent.com/u/0/d/1uebHVQJV8wyt4mhfGmwqitrWOWw8dWzI")</f>
        <v/>
      </c>
      <c r="B845" s="9" t="s">
        <v>760</v>
      </c>
      <c r="C845" s="8"/>
      <c r="D845" s="8"/>
      <c r="E845" s="8"/>
      <c r="F845" s="9" t="s">
        <v>445</v>
      </c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12.5" customHeight="1">
      <c r="A846" s="8" t="str">
        <f>IMAGE("https://lh3.googleusercontent.com/u/0/d/1BDiyCpUha3j3MQA6WgHv-nI_bMyHYpHf")</f>
        <v/>
      </c>
      <c r="B846" s="9" t="s">
        <v>761</v>
      </c>
      <c r="C846" s="8"/>
      <c r="D846" s="8"/>
      <c r="E846" s="8"/>
      <c r="F846" s="9" t="s">
        <v>445</v>
      </c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12.5" customHeight="1">
      <c r="A847" s="8" t="str">
        <f>IMAGE("https://lh3.googleusercontent.com/u/0/d/1H2zjWp5ImAVgJ3dqTyFzxd8klcWD6Wz6")</f>
        <v/>
      </c>
      <c r="B847" s="9" t="s">
        <v>762</v>
      </c>
      <c r="C847" s="8"/>
      <c r="D847" s="8"/>
      <c r="E847" s="8"/>
      <c r="F847" s="9" t="s">
        <v>445</v>
      </c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12.5" customHeight="1">
      <c r="A848" s="8" t="str">
        <f>IMAGE("https://lh3.googleusercontent.com/u/0/d/1BCkDKcBe5clkDJia3QU_GdJomkSqIUxE")</f>
        <v/>
      </c>
      <c r="B848" s="9" t="s">
        <v>763</v>
      </c>
      <c r="C848" s="8"/>
      <c r="D848" s="8"/>
      <c r="E848" s="8"/>
      <c r="F848" s="9" t="s">
        <v>445</v>
      </c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12.5" customHeight="1">
      <c r="A849" s="8" t="str">
        <f>IMAGE("https://lh3.googleusercontent.com/u/0/d/10cnQtbw7qbfKiHpuMeMMjm3E3Qtcdy5u")</f>
        <v/>
      </c>
      <c r="B849" s="9" t="s">
        <v>764</v>
      </c>
      <c r="C849" s="8"/>
      <c r="D849" s="8"/>
      <c r="E849" s="8"/>
      <c r="F849" s="9" t="s">
        <v>445</v>
      </c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12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12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12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12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12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12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12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12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12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12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12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12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12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12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12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12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12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12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12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12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12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12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12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12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12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12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12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12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12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12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12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12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12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12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12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12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12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12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12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12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12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12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12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12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12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12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12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12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12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12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12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12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12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12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12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12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12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12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12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12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12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12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12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12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12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12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12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12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12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12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12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12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12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12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12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12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12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12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12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12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12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12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12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12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12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12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12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12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12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12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12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12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12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12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12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12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12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12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12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12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12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12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12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12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12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12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12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12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12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12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12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12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12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12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12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12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12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12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12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12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12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12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12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12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12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12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12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12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12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12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12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12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12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12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12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12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12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12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12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12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12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12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12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12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12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12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12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12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12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dataValidations>
    <dataValidation type="list" allowBlank="1" showDropDown="1" showErrorMessage="1" sqref="A2:A388">
      <formula1>"extracted_zip,خردوات,صحي"</formula1>
    </dataValidation>
  </dataValidations>
  <drawing r:id="rId1"/>
  <tableParts count="1">
    <tablePart r:id="rId3"/>
  </tableParts>
</worksheet>
</file>