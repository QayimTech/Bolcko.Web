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 (قائمة الدخل)" sheetId="1" state="visible" r:id="rId1"/>
    <sheet name="Balance Sheet (الميزانية)" sheetId="2" state="visible" r:id="rId2"/>
    <sheet name="Cash Flow (التدفق النقدي)" sheetId="3" state="visible" r:id="rId3"/>
    <sheet name="Projections (التوقعات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334155"/>
      <sz val="10"/>
    </font>
    <font>
      <name val="Calibri"/>
      <b val="1"/>
      <color rgb="001E293B"/>
      <sz val="11"/>
    </font>
    <font>
      <name val="Calibri"/>
      <b val="1"/>
      <color rgb="000369A1"/>
      <sz val="10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51B26"/>
        <bgColor rgb="00151B26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right" vertical="center"/>
    </xf>
    <xf numFmtId="165" fontId="8" fillId="6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18" customWidth="1" min="3" max="3"/>
    <col width="18" customWidth="1" min="4" max="4"/>
  </cols>
  <sheetData>
    <row r="1" ht="35" customHeight="1">
      <c r="A1" s="1" t="inlineStr">
        <is>
          <t>Bolcko (بلوكو) - Income Statement (قائمة الأرباح والخسائر)</t>
        </is>
      </c>
    </row>
    <row r="2">
      <c r="A2" s="2" t="inlineStr">
        <is>
          <t>For the Launch Period 2026 | All values in US Dollars (USD - $) | FX: 1 JOD = 1.41 USD</t>
        </is>
      </c>
    </row>
    <row r="3"/>
    <row r="4" ht="25" customHeight="1">
      <c r="A4" s="3" t="inlineStr">
        <is>
          <t>البند / Line Item</t>
        </is>
      </c>
      <c r="B4" s="3" t="inlineStr">
        <is>
          <t>Description (الوصف)</t>
        </is>
      </c>
      <c r="C4" s="3" t="inlineStr">
        <is>
          <t>المبلغ (USD $)</t>
        </is>
      </c>
      <c r="D4" s="3" t="inlineStr">
        <is>
          <t>النسبة %</t>
        </is>
      </c>
    </row>
    <row r="5" ht="22" customHeight="1">
      <c r="A5" s="4" t="inlineStr">
        <is>
          <t>الإيرادات والمبيعات (Gross Revenue)</t>
        </is>
      </c>
      <c r="B5" s="5" t="inlineStr">
        <is>
          <t>Gross Sales from live store &amp; quotes (أول مبيعات محققة - 731 JOD)</t>
        </is>
      </c>
      <c r="C5" s="6" t="n">
        <v>1030</v>
      </c>
      <c r="D5" s="7">
        <f>C5/$C$5</f>
        <v/>
      </c>
    </row>
    <row r="6" ht="20" customHeight="1">
      <c r="A6" s="8" t="inlineStr">
        <is>
          <t>تكلفة البضاعة المباعة (COGS)</t>
        </is>
      </c>
      <c r="B6" s="9" t="inlineStr">
        <is>
          <t>Direct Supplier Cost &amp; Wholesale Goods (تكلفة الموردين المباشرة)</t>
        </is>
      </c>
      <c r="C6" s="10" t="n">
        <v>-721</v>
      </c>
      <c r="D6" s="11">
        <f>ABS(C6)/$C$5</f>
        <v/>
      </c>
    </row>
    <row r="7" ht="24" customHeight="1">
      <c r="A7" s="12" t="inlineStr">
        <is>
          <t>إجمالي الربح (Gross Profit)</t>
        </is>
      </c>
      <c r="B7" s="13" t="inlineStr">
        <is>
          <t>Revenue minus COGS (مجمل الربح)</t>
        </is>
      </c>
      <c r="C7" s="14">
        <f>C5+C6</f>
        <v/>
      </c>
      <c r="D7" s="15">
        <f>C7/$C$5</f>
        <v/>
      </c>
    </row>
    <row r="8">
      <c r="A8" s="16" t="inlineStr"/>
      <c r="B8" s="17" t="inlineStr"/>
      <c r="C8" s="16" t="n"/>
      <c r="D8" s="18" t="n"/>
    </row>
    <row r="9" ht="22" customHeight="1">
      <c r="A9" s="19" t="inlineStr">
        <is>
          <t>المصاريف التشغيلية (Operating Expenses - OPEX):</t>
        </is>
      </c>
      <c r="B9" s="20" t="inlineStr"/>
      <c r="C9" s="16" t="n"/>
      <c r="D9" s="18" t="n"/>
    </row>
    <row r="10" ht="22" customHeight="1">
      <c r="A10" s="21" t="inlineStr">
        <is>
          <t xml:space="preserve">  - تكاليف السيرفرات والبنية السحابية</t>
        </is>
      </c>
      <c r="B10" s="22" t="inlineStr">
        <is>
          <t>AWS Cloud &amp; DigitalOcean Startup Free Tier / Grants (3 Months Free)</t>
        </is>
      </c>
      <c r="C10" s="23" t="n">
        <v>0</v>
      </c>
      <c r="D10" s="24">
        <f>ABS(C10)/$C$5</f>
        <v/>
      </c>
    </row>
    <row r="11" ht="20" customHeight="1">
      <c r="A11" s="8" t="inlineStr">
        <is>
          <t xml:space="preserve">  - الخدمات اللوجستية والشحن</t>
        </is>
      </c>
      <c r="B11" s="9" t="inlineStr">
        <is>
          <t>GLC Express Delivery &amp; Courier Logistics</t>
        </is>
      </c>
      <c r="C11" s="10" t="n">
        <v>-49</v>
      </c>
      <c r="D11" s="11">
        <f>ABS(C11)/$C$5</f>
        <v/>
      </c>
    </row>
    <row r="12" ht="20" customHeight="1">
      <c r="A12" s="8" t="inlineStr">
        <is>
          <t xml:space="preserve">  - التسويق الرقمي واكتساب العملاء</t>
        </is>
      </c>
      <c r="B12" s="9" t="inlineStr">
        <is>
          <t>Digital Ads, Search Marketing &amp; Outreach</t>
        </is>
      </c>
      <c r="C12" s="10" t="n">
        <v>-85</v>
      </c>
      <c r="D12" s="11">
        <f>ABS(C12)/$C$5</f>
        <v/>
      </c>
    </row>
    <row r="13" ht="20" customHeight="1">
      <c r="A13" s="8" t="inlineStr">
        <is>
          <t xml:space="preserve">  - اشتراكات البرمجيات وبوابة الدفع</t>
        </is>
      </c>
      <c r="B13" s="9" t="inlineStr">
        <is>
          <t>Payment Gateway Fees &amp; Developer Tools</t>
        </is>
      </c>
      <c r="C13" s="10" t="n">
        <v>-28</v>
      </c>
      <c r="D13" s="11">
        <f>ABS(C13)/$C$5</f>
        <v/>
      </c>
    </row>
    <row r="14" ht="22" customHeight="1">
      <c r="A14" s="4" t="inlineStr">
        <is>
          <t>إجمالي المصاريف التشغيلية (Total OPEX)</t>
        </is>
      </c>
      <c r="B14" s="5" t="inlineStr">
        <is>
          <t>Sum of Operating Expenses</t>
        </is>
      </c>
      <c r="C14" s="6">
        <f>SUM(C10:C13)</f>
        <v/>
      </c>
      <c r="D14" s="7">
        <f>ABS(C14)/$C$5</f>
        <v/>
      </c>
    </row>
    <row r="15">
      <c r="A15" s="16" t="inlineStr"/>
      <c r="B15" s="17" t="inlineStr"/>
      <c r="C15" s="16" t="n"/>
      <c r="D15" s="18" t="n"/>
    </row>
    <row r="16" ht="26" customHeight="1">
      <c r="A16" s="25" t="inlineStr">
        <is>
          <t>صافي الربح التشغيلي (Operating Income / Net Profit)</t>
        </is>
      </c>
      <c r="B16" s="26" t="inlineStr">
        <is>
          <t>Gross Profit minus Total OPEX</t>
        </is>
      </c>
      <c r="C16" s="27">
        <f>C7+C14</f>
        <v/>
      </c>
      <c r="D16" s="28">
        <f>C16/$C$5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18" customWidth="1" min="3" max="3"/>
  </cols>
  <sheetData>
    <row r="1" ht="35" customHeight="1">
      <c r="A1" s="1" t="inlineStr">
        <is>
          <t>Bolcko (بلوكو) - Balance Sheet (الميزانية العمومية)</t>
        </is>
      </c>
    </row>
    <row r="2">
      <c r="A2" s="2" t="inlineStr">
        <is>
          <t>As of Launch Phase 2026 | All values in US Dollars (USD - $)</t>
        </is>
      </c>
    </row>
    <row r="3"/>
    <row r="4" ht="25" customHeight="1">
      <c r="A4" s="3" t="inlineStr">
        <is>
          <t>البند المحاسبي / Account</t>
        </is>
      </c>
      <c r="B4" s="3" t="inlineStr">
        <is>
          <t>Description (الوصف)</t>
        </is>
      </c>
      <c r="C4" s="3" t="inlineStr">
        <is>
          <t>المبلغ (USD $)</t>
        </is>
      </c>
    </row>
    <row r="5" ht="22" customHeight="1">
      <c r="A5" s="19" t="inlineStr">
        <is>
          <t>الأصول (ASSETS)</t>
        </is>
      </c>
      <c r="B5" s="20" t="inlineStr"/>
      <c r="C5" s="16" t="n"/>
    </row>
    <row r="6" ht="20" customHeight="1">
      <c r="A6" s="29" t="inlineStr">
        <is>
          <t xml:space="preserve">  الأصول المتداولة (Current Assets):</t>
        </is>
      </c>
      <c r="B6" s="17" t="inlineStr"/>
      <c r="C6" s="16" t="n"/>
    </row>
    <row r="7" ht="20" customHeight="1">
      <c r="A7" s="8" t="inlineStr">
        <is>
          <t xml:space="preserve">    - النقد وما في حكمه (Cash &amp; Bank)</t>
        </is>
      </c>
      <c r="B7" s="9" t="inlineStr">
        <is>
          <t>Operating liquid cash balance in bank</t>
        </is>
      </c>
      <c r="C7" s="10" t="n">
        <v>4500</v>
      </c>
    </row>
    <row r="8" ht="20" customHeight="1">
      <c r="A8" s="8" t="inlineStr">
        <is>
          <t xml:space="preserve">    - المدينون وحسابات القبض (Accounts Receivable)</t>
        </is>
      </c>
      <c r="B8" s="9" t="inlineStr">
        <is>
          <t>Trade receivables (Settled)</t>
        </is>
      </c>
      <c r="C8" s="10" t="n">
        <v>0</v>
      </c>
    </row>
    <row r="9" ht="20" customHeight="1">
      <c r="A9" s="8" t="inlineStr">
        <is>
          <t xml:space="preserve">    - المخزون السلعي (Inventory)</t>
        </is>
      </c>
      <c r="B9" s="9" t="inlineStr">
        <is>
          <t>High-demand sample items &amp; supplier buffer</t>
        </is>
      </c>
      <c r="C9" s="10" t="n">
        <v>650</v>
      </c>
    </row>
    <row r="10" ht="22" customHeight="1">
      <c r="A10" s="4" t="inlineStr">
        <is>
          <t xml:space="preserve">  إجمالي الأصول المتداولة (Total Current Assets)</t>
        </is>
      </c>
      <c r="B10" s="5" t="inlineStr">
        <is>
          <t>Sum of current assets</t>
        </is>
      </c>
      <c r="C10" s="6">
        <f>SUM(C7:C9)</f>
        <v/>
      </c>
    </row>
    <row r="11">
      <c r="A11" s="16" t="inlineStr"/>
      <c r="B11" s="17" t="inlineStr"/>
      <c r="C11" s="16" t="n"/>
    </row>
    <row r="12" ht="20" customHeight="1">
      <c r="A12" s="29" t="inlineStr">
        <is>
          <t xml:space="preserve">  الأصول غير المتداولة (Non-Current Assets):</t>
        </is>
      </c>
      <c r="B12" s="17" t="inlineStr"/>
      <c r="C12" s="16" t="n"/>
    </row>
    <row r="13" ht="20" customHeight="1">
      <c r="A13" s="8" t="inlineStr">
        <is>
          <t xml:space="preserve">    - المنصة البرمجية وحقوق الملكية الفكرية</t>
        </is>
      </c>
      <c r="B13" s="9" t="inlineStr">
        <is>
          <t>Capitalized Software Assets &amp; Custom IP</t>
        </is>
      </c>
      <c r="C13" s="10" t="n">
        <v>6500</v>
      </c>
    </row>
    <row r="14" ht="20" customHeight="1">
      <c r="A14" s="8" t="inlineStr">
        <is>
          <t xml:space="preserve">    - أجهزة ومعدات مكتبية وتشغيلية</t>
        </is>
      </c>
      <c r="B14" s="9" t="inlineStr">
        <is>
          <t>Computers, office &amp; logistics equipment</t>
        </is>
      </c>
      <c r="C14" s="10" t="n">
        <v>1200</v>
      </c>
    </row>
    <row r="15" ht="22" customHeight="1">
      <c r="A15" s="4" t="inlineStr">
        <is>
          <t xml:space="preserve">  إجمالي الأصول غير المتداولة (Total Non-Current Assets)</t>
        </is>
      </c>
      <c r="B15" s="5" t="inlineStr">
        <is>
          <t>Sum of non-current assets</t>
        </is>
      </c>
      <c r="C15" s="6">
        <f>SUM(C13:C14)</f>
        <v/>
      </c>
    </row>
    <row r="16">
      <c r="A16" s="16" t="inlineStr"/>
      <c r="B16" s="17" t="inlineStr"/>
      <c r="C16" s="16" t="n"/>
    </row>
    <row r="17" ht="25" customHeight="1">
      <c r="A17" s="30" t="inlineStr">
        <is>
          <t>إجمالي الأصول (TOTAL ASSETS)</t>
        </is>
      </c>
      <c r="B17" s="31" t="inlineStr">
        <is>
          <t>Current Assets + Non-Current Assets</t>
        </is>
      </c>
      <c r="C17" s="32">
        <f>C10+C15</f>
        <v/>
      </c>
    </row>
    <row r="18">
      <c r="A18" s="16" t="inlineStr"/>
      <c r="B18" s="17" t="inlineStr"/>
      <c r="C18" s="16" t="n"/>
    </row>
    <row r="19" ht="22" customHeight="1">
      <c r="A19" s="19" t="inlineStr">
        <is>
          <t>الالتزامات وحقوق الملكية (LIABILITIES &amp; EQUITY)</t>
        </is>
      </c>
      <c r="B19" s="20" t="inlineStr"/>
      <c r="C19" s="16" t="n"/>
    </row>
    <row r="20" ht="20" customHeight="1">
      <c r="A20" s="29" t="inlineStr">
        <is>
          <t xml:space="preserve">  الالتزامات المتداولة (Current Liabilities):</t>
        </is>
      </c>
      <c r="B20" s="17" t="inlineStr"/>
      <c r="C20" s="16" t="n"/>
    </row>
    <row r="21" ht="20" customHeight="1">
      <c r="A21" s="8" t="inlineStr">
        <is>
          <t xml:space="preserve">    - الذمم الدائنة والموردين (Accounts Payable)</t>
        </is>
      </c>
      <c r="B21" s="9" t="inlineStr">
        <is>
          <t>Pending supplier settlement bills</t>
        </is>
      </c>
      <c r="C21" s="10" t="n">
        <v>350</v>
      </c>
    </row>
    <row r="22" ht="20" customHeight="1">
      <c r="A22" s="8" t="inlineStr">
        <is>
          <t xml:space="preserve">    - المصاريف والضرائب المستحقة (Accrued Expenses)</t>
        </is>
      </c>
      <c r="B22" s="9" t="inlineStr">
        <is>
          <t>Operational accrued commitments</t>
        </is>
      </c>
      <c r="C22" s="10" t="n">
        <v>100</v>
      </c>
    </row>
    <row r="23" ht="22" customHeight="1">
      <c r="A23" s="4" t="inlineStr">
        <is>
          <t xml:space="preserve">  إجمالي الالتزامات المتداولة (Total Current Liabilities)</t>
        </is>
      </c>
      <c r="B23" s="5" t="inlineStr">
        <is>
          <t>Sum of current liabilities</t>
        </is>
      </c>
      <c r="C23" s="6">
        <f>SUM(C21:C22)</f>
        <v/>
      </c>
    </row>
    <row r="24">
      <c r="A24" s="16" t="inlineStr"/>
      <c r="B24" s="17" t="inlineStr"/>
      <c r="C24" s="16" t="n"/>
    </row>
    <row r="25" ht="20" customHeight="1">
      <c r="A25" s="29" t="inlineStr">
        <is>
          <t xml:space="preserve">  حقوق الملكية (Equity):</t>
        </is>
      </c>
      <c r="B25" s="17" t="inlineStr"/>
      <c r="C25" s="16" t="n"/>
    </row>
    <row r="26" ht="20" customHeight="1">
      <c r="A26" s="8" t="inlineStr">
        <is>
          <t xml:space="preserve">    - رأس المال المدفوع والمستثمر (Paid-in Capital)</t>
        </is>
      </c>
      <c r="B26" s="9" t="inlineStr">
        <is>
          <t>Founders initial equity investment</t>
        </is>
      </c>
      <c r="C26" s="10" t="n">
        <v>12253</v>
      </c>
    </row>
    <row r="27" ht="20" customHeight="1">
      <c r="A27" s="8" t="inlineStr">
        <is>
          <t xml:space="preserve">    - الأرباح المحتجزة / صافي الفترة (Retained Earnings)</t>
        </is>
      </c>
      <c r="B27" s="9" t="inlineStr">
        <is>
          <t>Net income from launch operations</t>
        </is>
      </c>
      <c r="C27" s="10" t="n">
        <v>147</v>
      </c>
    </row>
    <row r="28" ht="22" customHeight="1">
      <c r="A28" s="4" t="inlineStr">
        <is>
          <t xml:space="preserve">  إجمالي حقوق الملكية (Total Equity)</t>
        </is>
      </c>
      <c r="B28" s="5" t="inlineStr">
        <is>
          <t>Paid-in Capital + Retained Earnings</t>
        </is>
      </c>
      <c r="C28" s="6">
        <f>SUM(C26:C27)</f>
        <v/>
      </c>
    </row>
    <row r="29">
      <c r="A29" s="16" t="inlineStr"/>
      <c r="B29" s="17" t="inlineStr"/>
      <c r="C29" s="16" t="n"/>
    </row>
    <row r="30" ht="25" customHeight="1">
      <c r="A30" s="30" t="inlineStr">
        <is>
          <t>إجمالي الالتزامات وحقوق الملكية (TOTAL LIABILITIES &amp; EQUITY)</t>
        </is>
      </c>
      <c r="B30" s="31" t="inlineStr">
        <is>
          <t>Total Liabilities + Total Equity</t>
        </is>
      </c>
      <c r="C30" s="32">
        <f>C23+C28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23" customWidth="1" min="3" max="3"/>
  </cols>
  <sheetData>
    <row r="1" ht="35" customHeight="1">
      <c r="A1" s="1" t="inlineStr">
        <is>
          <t>Bolcko (بلوكو) - Cash Flow Statement (قائمة التدفقات النقدية)</t>
        </is>
      </c>
    </row>
    <row r="2">
      <c r="A2" s="2" t="inlineStr">
        <is>
          <t>For the Launch Period 2026 | All values in US Dollars (USD - $)</t>
        </is>
      </c>
    </row>
    <row r="3"/>
    <row r="4" ht="25" customHeight="1">
      <c r="A4" s="3" t="inlineStr">
        <is>
          <t>النشاط / Activity</t>
        </is>
      </c>
      <c r="B4" s="3" t="inlineStr">
        <is>
          <t>Description (الوصف)</t>
        </is>
      </c>
      <c r="C4" s="3" t="inlineStr">
        <is>
          <t>صافي التدفق (USD $)</t>
        </is>
      </c>
    </row>
    <row r="5" ht="22" customHeight="1">
      <c r="A5" s="19" t="inlineStr">
        <is>
          <t>الأنشطة التشغيلية (Operating Activities):</t>
        </is>
      </c>
      <c r="B5" s="20" t="inlineStr"/>
      <c r="C5" s="16" t="n"/>
    </row>
    <row r="6" ht="20" customHeight="1">
      <c r="A6" s="8" t="inlineStr">
        <is>
          <t xml:space="preserve">  + النقد المحصل من مبيعات المتجر والطلبات</t>
        </is>
      </c>
      <c r="B6" s="9" t="inlineStr">
        <is>
          <t>Cash inflow from customers ($1,030 / 731 JOD invoice)</t>
        </is>
      </c>
      <c r="C6" s="10" t="n">
        <v>1030</v>
      </c>
    </row>
    <row r="7" ht="20" customHeight="1">
      <c r="A7" s="8" t="inlineStr">
        <is>
          <t xml:space="preserve">  - النقد المدفوع للموردين للبضاعة المباعة</t>
        </is>
      </c>
      <c r="B7" s="9" t="inlineStr">
        <is>
          <t>Direct cash outflow for inventory &amp; suppliers</t>
        </is>
      </c>
      <c r="C7" s="10" t="n">
        <v>-721</v>
      </c>
    </row>
    <row r="8" ht="20" customHeight="1">
      <c r="A8" s="8" t="inlineStr">
        <is>
          <t xml:space="preserve">  - النقد المدفوع للمصاريف التشغيلية والتسويق</t>
        </is>
      </c>
      <c r="B8" s="9" t="inlineStr">
        <is>
          <t>Cash paid for delivery &amp; marketing (Hosting covered by grants)</t>
        </is>
      </c>
      <c r="C8" s="10" t="n">
        <v>-162</v>
      </c>
    </row>
    <row r="9" ht="22" customHeight="1">
      <c r="A9" s="4" t="inlineStr">
        <is>
          <t>صافي النقد من الأنشطة التشغيلية (Net Cash from Operations)</t>
        </is>
      </c>
      <c r="B9" s="5" t="inlineStr">
        <is>
          <t>Operating cash surplus</t>
        </is>
      </c>
      <c r="C9" s="6">
        <f>SUM(C6:C8)</f>
        <v/>
      </c>
    </row>
    <row r="10">
      <c r="A10" s="16" t="inlineStr"/>
      <c r="B10" s="17" t="inlineStr"/>
      <c r="C10" s="16" t="n"/>
    </row>
    <row r="11" ht="22" customHeight="1">
      <c r="A11" s="19" t="inlineStr">
        <is>
          <t>الأنشطة الاستثمارية (Investing Activities):</t>
        </is>
      </c>
      <c r="B11" s="20" t="inlineStr"/>
      <c r="C11" s="16" t="n"/>
    </row>
    <row r="12" ht="20" customHeight="1">
      <c r="A12" s="8" t="inlineStr">
        <is>
          <t xml:space="preserve">  - الاستثمار في تطوير المنصة والمعدات الأساسية</t>
        </is>
      </c>
      <c r="B12" s="9" t="inlineStr">
        <is>
          <t>Platform development assets &amp; setup costs</t>
        </is>
      </c>
      <c r="C12" s="10" t="n">
        <v>-2100</v>
      </c>
    </row>
    <row r="13" ht="22" customHeight="1">
      <c r="A13" s="4" t="inlineStr">
        <is>
          <t>صافي النقد من الأنشطة الاستثمارية (Net Cash from Investing)</t>
        </is>
      </c>
      <c r="B13" s="5" t="inlineStr">
        <is>
          <t>Capital investments</t>
        </is>
      </c>
      <c r="C13" s="6">
        <f>C12</f>
        <v/>
      </c>
    </row>
    <row r="14">
      <c r="A14" s="16" t="inlineStr"/>
      <c r="B14" s="17" t="inlineStr"/>
      <c r="C14" s="16" t="n"/>
    </row>
    <row r="15" ht="22" customHeight="1">
      <c r="A15" s="19" t="inlineStr">
        <is>
          <t>الأنشطة التمويلية (Financing Activities):</t>
        </is>
      </c>
      <c r="B15" s="20" t="inlineStr"/>
      <c r="C15" s="16" t="n"/>
    </row>
    <row r="16" ht="20" customHeight="1">
      <c r="A16" s="8" t="inlineStr">
        <is>
          <t xml:space="preserve">  + تمويل المؤسسين ورأس المال الأولي</t>
        </is>
      </c>
      <c r="B16" s="9" t="inlineStr">
        <is>
          <t>Founders cash capital contribution</t>
        </is>
      </c>
      <c r="C16" s="10" t="n">
        <v>6453</v>
      </c>
    </row>
    <row r="17" ht="22" customHeight="1">
      <c r="A17" s="4" t="inlineStr">
        <is>
          <t>صافي النقد من الأنشطة التمويلية (Net Cash from Financing)</t>
        </is>
      </c>
      <c r="B17" s="5" t="inlineStr">
        <is>
          <t>Equity injection</t>
        </is>
      </c>
      <c r="C17" s="6">
        <f>C16</f>
        <v/>
      </c>
    </row>
    <row r="18">
      <c r="A18" s="16" t="inlineStr"/>
      <c r="B18" s="17" t="inlineStr"/>
      <c r="C18" s="16" t="n"/>
    </row>
    <row r="19" ht="24" customHeight="1">
      <c r="A19" s="12" t="inlineStr">
        <is>
          <t>صافي التغير في النقدية (Net Increase in Cash)</t>
        </is>
      </c>
      <c r="B19" s="13" t="inlineStr">
        <is>
          <t>Operating + Investing + Financing</t>
        </is>
      </c>
      <c r="C19" s="14">
        <f>C9+C13+C17</f>
        <v/>
      </c>
    </row>
    <row r="20" ht="20" customHeight="1">
      <c r="A20" s="8" t="inlineStr">
        <is>
          <t>رصيد النقدية في بداية الفترة (Beginning Cash)</t>
        </is>
      </c>
      <c r="B20" s="9" t="inlineStr">
        <is>
          <t>Initial starting balance</t>
        </is>
      </c>
      <c r="C20" s="10" t="n">
        <v>0</v>
      </c>
    </row>
    <row r="21" ht="25" customHeight="1">
      <c r="A21" s="25" t="inlineStr">
        <is>
          <t>رصيد النقدية في نهاية الفترة (Ending Cash Balance)</t>
        </is>
      </c>
      <c r="B21" s="26" t="inlineStr">
        <is>
          <t>Beginning Cash + Net Change</t>
        </is>
      </c>
      <c r="C21" s="27">
        <f>C19+C20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20" customWidth="1" min="3" max="3"/>
    <col width="19" customWidth="1" min="4" max="4"/>
    <col width="23" customWidth="1" min="5" max="5"/>
    <col width="24" customWidth="1" min="6" max="6"/>
  </cols>
  <sheetData>
    <row r="1" ht="35" customHeight="1">
      <c r="A1" s="1" t="inlineStr">
        <is>
          <t>Bolcko (بلوكو) - 12-Month Financial Projections (التوقعات المالية التقديرية)</t>
        </is>
      </c>
    </row>
    <row r="2"/>
    <row r="3" ht="25" customHeight="1">
      <c r="A3" s="3" t="inlineStr">
        <is>
          <t>المؤشر المالي (Metric)</t>
        </is>
      </c>
      <c r="B3" s="3" t="inlineStr">
        <is>
          <t>Q1 2026 (Actual / Launch)</t>
        </is>
      </c>
      <c r="C3" s="3" t="inlineStr">
        <is>
          <t>Q2 2026 (Growth)</t>
        </is>
      </c>
      <c r="D3" s="3" t="inlineStr">
        <is>
          <t>Q3 2026 (Scale)</t>
        </is>
      </c>
      <c r="E3" s="3" t="inlineStr">
        <is>
          <t>Q4 2026 (Expansion)</t>
        </is>
      </c>
      <c r="F3" s="3" t="inlineStr">
        <is>
          <t>Year 1 Total (USD $)</t>
        </is>
      </c>
    </row>
    <row r="4" ht="22" customHeight="1">
      <c r="A4" s="8" t="inlineStr">
        <is>
          <t>عدد الطلبات والمشاريع (Orders Count)</t>
        </is>
      </c>
      <c r="B4" s="33" t="n">
        <v>15</v>
      </c>
      <c r="C4" s="33" t="n">
        <v>85</v>
      </c>
      <c r="D4" s="33" t="n">
        <v>240</v>
      </c>
      <c r="E4" s="33" t="n">
        <v>520</v>
      </c>
      <c r="F4" s="33">
        <f>SUM(B4:E4)</f>
        <v/>
      </c>
    </row>
    <row r="5" ht="22" customHeight="1">
      <c r="A5" s="8" t="inlineStr">
        <is>
          <t>متوسط قيمة الطلب (AOV - USD $)</t>
        </is>
      </c>
      <c r="B5" s="10" t="n">
        <v>1030</v>
      </c>
      <c r="C5" s="10" t="n">
        <v>960</v>
      </c>
      <c r="D5" s="10" t="n">
        <v>1015</v>
      </c>
      <c r="E5" s="10" t="n">
        <v>1050</v>
      </c>
      <c r="F5" s="10">
        <f>F6/F4</f>
        <v/>
      </c>
    </row>
    <row r="6" ht="22" customHeight="1">
      <c r="A6" s="12" t="inlineStr">
        <is>
          <t>إجمالي الإيرادات (Gross Revenue)</t>
        </is>
      </c>
      <c r="B6" s="14">
        <f>B4*B5</f>
        <v/>
      </c>
      <c r="C6" s="14">
        <f>C4*C5</f>
        <v/>
      </c>
      <c r="D6" s="14">
        <f>D4*D5</f>
        <v/>
      </c>
      <c r="E6" s="14">
        <f>E4*E5</f>
        <v/>
      </c>
      <c r="F6" s="14">
        <f>SUM(B6:E6)</f>
        <v/>
      </c>
    </row>
    <row r="7" ht="22" customHeight="1">
      <c r="A7" s="8" t="inlineStr">
        <is>
          <t>تكلفة البضاعة المباعة (COGS ~70%)</t>
        </is>
      </c>
      <c r="B7" s="10">
        <f>-B6*0.70</f>
        <v/>
      </c>
      <c r="C7" s="10">
        <f>-C6*0.70</f>
        <v/>
      </c>
      <c r="D7" s="10">
        <f>-D6*0.70</f>
        <v/>
      </c>
      <c r="E7" s="10">
        <f>-E6*0.70</f>
        <v/>
      </c>
      <c r="F7" s="10">
        <f>SUM(B7:E7)</f>
        <v/>
      </c>
    </row>
    <row r="8" ht="22" customHeight="1">
      <c r="A8" s="4" t="inlineStr">
        <is>
          <t>مجمل الربح (Gross Profit ~30%)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SUM(B8:E8)</f>
        <v/>
      </c>
    </row>
    <row r="9" ht="22" customHeight="1">
      <c r="A9" s="8" t="inlineStr">
        <is>
          <t>المصاريف التشغيلية والتسويق (OPEX)</t>
        </is>
      </c>
      <c r="B9" s="10" t="n">
        <v>-2950</v>
      </c>
      <c r="C9" s="10" t="n">
        <v>-12000</v>
      </c>
      <c r="D9" s="10" t="n">
        <v>-25000</v>
      </c>
      <c r="E9" s="10" t="n">
        <v>-45000</v>
      </c>
      <c r="F9" s="10">
        <f>SUM(B9:E9)</f>
        <v/>
      </c>
    </row>
    <row r="10" ht="22" customHeight="1">
      <c r="A10" s="25" t="inlineStr">
        <is>
          <t>صافي الربح التقديري (Net Income)</t>
        </is>
      </c>
      <c r="B10" s="27">
        <f>B8+B9</f>
        <v/>
      </c>
      <c r="C10" s="27">
        <f>C8+C9</f>
        <v/>
      </c>
      <c r="D10" s="27">
        <f>D8+D9</f>
        <v/>
      </c>
      <c r="E10" s="27">
        <f>E8+E9</f>
        <v/>
      </c>
      <c r="F10" s="27">
        <f>SUM(B10:E10)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2026-09-15T10:16:40Z</dcterms:created>
  <dcterms:modified xsi:type="dcterms:W3CDTF">2026-09-15T10:16:40Z</dcterms:modified>
</cp:coreProperties>
</file>